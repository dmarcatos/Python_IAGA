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Denny\Documents\Gerais\Especialização IAGA\AULAS\Associação\"/>
    </mc:Choice>
  </mc:AlternateContent>
  <xr:revisionPtr revIDLastSave="0" documentId="8_{035C7835-BAA1-4B12-BDC9-A4DE36D22F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EMPLO1" sheetId="8" r:id="rId1"/>
    <sheet name="EXEMPLO2" sheetId="9" r:id="rId2"/>
    <sheet name="Instruções" sheetId="1" r:id="rId3"/>
    <sheet name="01_Cafeteria" sheetId="2" r:id="rId4"/>
    <sheet name="02_Streaming" sheetId="3" r:id="rId5"/>
    <sheet name="03_Farmacia" sheetId="4" r:id="rId6"/>
    <sheet name="04_Gamer" sheetId="5" r:id="rId7"/>
    <sheet name="05_PetShop" sheetId="6" r:id="rId8"/>
    <sheet name="06_Biblioteca" sheetId="7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8" l="1"/>
  <c r="C24" i="8" s="1"/>
  <c r="B23" i="8"/>
  <c r="C23" i="8" s="1"/>
  <c r="H22" i="8"/>
  <c r="I22" i="8" s="1"/>
  <c r="E22" i="8"/>
  <c r="B22" i="8"/>
  <c r="C22" i="8" s="1"/>
  <c r="H21" i="8"/>
  <c r="I21" i="8" s="1"/>
  <c r="E21" i="8"/>
  <c r="B21" i="8"/>
  <c r="C21" i="8" s="1"/>
  <c r="H18" i="8"/>
  <c r="I18" i="8" s="1"/>
  <c r="E18" i="8"/>
  <c r="F18" i="8" s="1"/>
  <c r="B18" i="8"/>
  <c r="C18" i="8" s="1"/>
  <c r="B17" i="8"/>
  <c r="H17" i="8" s="1"/>
  <c r="B16" i="8"/>
  <c r="H23" i="8" s="1"/>
  <c r="B15" i="8"/>
  <c r="C15" i="8" s="1"/>
  <c r="B14" i="8"/>
  <c r="H14" i="8" s="1"/>
  <c r="B13" i="8"/>
  <c r="C13" i="8" s="1"/>
  <c r="G9" i="8"/>
  <c r="G10" i="8" s="1"/>
  <c r="F9" i="8"/>
  <c r="F10" i="8" s="1"/>
  <c r="E9" i="8"/>
  <c r="E10" i="8" s="1"/>
  <c r="D9" i="8"/>
  <c r="D10" i="8" s="1"/>
  <c r="C9" i="8"/>
  <c r="C10" i="8" s="1"/>
  <c r="B9" i="8"/>
  <c r="B10" i="8" s="1"/>
  <c r="F21" i="8" l="1"/>
  <c r="I14" i="8"/>
  <c r="I23" i="8"/>
  <c r="I17" i="8"/>
  <c r="C14" i="8"/>
  <c r="E14" i="8"/>
  <c r="F14" i="8" s="1"/>
  <c r="C16" i="8"/>
  <c r="E16" i="8"/>
  <c r="F16" i="8" s="1"/>
  <c r="H16" i="8"/>
  <c r="I16" i="8" s="1"/>
  <c r="C17" i="8"/>
  <c r="F22" i="8" s="1"/>
  <c r="E17" i="8"/>
  <c r="F17" i="8" s="1"/>
  <c r="E23" i="8"/>
  <c r="F23" i="8" s="1"/>
</calcChain>
</file>

<file path=xl/sharedStrings.xml><?xml version="1.0" encoding="utf-8"?>
<sst xmlns="http://schemas.openxmlformats.org/spreadsheetml/2006/main" count="306" uniqueCount="130">
  <si>
    <t>Bases para Atividade de Regras de Associação</t>
  </si>
  <si>
    <t>Use MinSup = 0,30 e MinConf = 0,70. Cada aba contém 25 transações binárias já prontas para cálculo no Excel ou importação no Weka.</t>
  </si>
  <si>
    <t>Base</t>
  </si>
  <si>
    <t>Contexto / desafio</t>
  </si>
  <si>
    <t>Itens</t>
  </si>
  <si>
    <t>Grupos sugeridos</t>
  </si>
  <si>
    <t>Observação didática</t>
  </si>
  <si>
    <t>01_Cafeteria</t>
  </si>
  <si>
    <t>Gerente quer combos matinais lucrativos. Desafio: investigar se Suco é antecedente forte para Sanduíche.</t>
  </si>
  <si>
    <t>Café, PãoQueijo, Bolo, Suco, Sanduíche</t>
  </si>
  <si>
    <t>1-3</t>
  </si>
  <si>
    <t>Há padrões fortes, moderados e ao menos uma armadilha por item popular.</t>
  </si>
  <si>
    <t>02_Streaming</t>
  </si>
  <si>
    <t>Melhorar recomendação lateral. Desafio: verificar se Terror tem Lift elevado para Ficção.</t>
  </si>
  <si>
    <t>Terror, Ficção, Comédia, Ação, Documentário</t>
  </si>
  <si>
    <t>4-6</t>
  </si>
  <si>
    <t>03_Farmacia</t>
  </si>
  <si>
    <t>Padrões de autocuidado preventivo. Desafio: avaliar se Termômetro é gatilho para kits de medicação.</t>
  </si>
  <si>
    <t>Antigripal, VitaminaC, Máscara, Termômetro, Analgésico</t>
  </si>
  <si>
    <t>7-9</t>
  </si>
  <si>
    <t>04_Gamer</t>
  </si>
  <si>
    <t>Bundles promocionais. Desafio: verificar se Webcam depende de par prévio de periféricos.</t>
  </si>
  <si>
    <t>Mouse, Teclado, Headset, Webcam, Monitor</t>
  </si>
  <si>
    <t>10-12</t>
  </si>
  <si>
    <t>05_PetShop</t>
  </si>
  <si>
    <t>Cupons de fidelidade. Desafio: identificar mimos com maior Lift quando Ração é antecedente.</t>
  </si>
  <si>
    <t>RaçãoCão, RaçãoGato, Brinquedo, Petisco, Antipulga</t>
  </si>
  <si>
    <t>13-15</t>
  </si>
  <si>
    <t>06_Biblioteca</t>
  </si>
  <si>
    <t>Reorganização de estantes. Desafio: validar se {Python &amp; Estatística} ⇒ {SQL} justifica seção de Ciência de Dados.</t>
  </si>
  <si>
    <t>Python, Estatística, SQL, BI, Gestão</t>
  </si>
  <si>
    <t>16-18</t>
  </si>
  <si>
    <t>01 - Cafeteria</t>
  </si>
  <si>
    <t>TID</t>
  </si>
  <si>
    <t>Café</t>
  </si>
  <si>
    <t>PãoQueijo</t>
  </si>
  <si>
    <t>Bolo</t>
  </si>
  <si>
    <t>Suco</t>
  </si>
  <si>
    <t>Sanduíche</t>
  </si>
  <si>
    <t>Item</t>
  </si>
  <si>
    <t>Contagem</t>
  </si>
  <si>
    <t>Suporte</t>
  </si>
  <si>
    <t>Observação</t>
  </si>
  <si>
    <t>Espaço para o grupo registrar a melhor regra encontrada</t>
  </si>
  <si>
    <t>Regra</t>
  </si>
  <si>
    <t>Confiança</t>
  </si>
  <si>
    <t>Lift</t>
  </si>
  <si>
    <t>Interpretação gerencial</t>
  </si>
  <si>
    <t>Limitação / risco</t>
  </si>
  <si>
    <t>02 - Streaming</t>
  </si>
  <si>
    <t>Terror</t>
  </si>
  <si>
    <t>Ficção</t>
  </si>
  <si>
    <t>Comédia</t>
  </si>
  <si>
    <t>Ação</t>
  </si>
  <si>
    <t>Documentário</t>
  </si>
  <si>
    <t>03 - Farmacia</t>
  </si>
  <si>
    <t>Antigripal</t>
  </si>
  <si>
    <t>VitaminaC</t>
  </si>
  <si>
    <t>Máscara</t>
  </si>
  <si>
    <t>Termômetro</t>
  </si>
  <si>
    <t>Analgésico</t>
  </si>
  <si>
    <t>04 - Gamer</t>
  </si>
  <si>
    <t>Mouse</t>
  </si>
  <si>
    <t>Teclado</t>
  </si>
  <si>
    <t>Headset</t>
  </si>
  <si>
    <t>Webcam</t>
  </si>
  <si>
    <t>Monitor</t>
  </si>
  <si>
    <t>05 - PetShop</t>
  </si>
  <si>
    <t>RaçãoCão</t>
  </si>
  <si>
    <t>RaçãoGato</t>
  </si>
  <si>
    <t>Brinquedo</t>
  </si>
  <si>
    <t>Petisco</t>
  </si>
  <si>
    <t>Antipulga</t>
  </si>
  <si>
    <t>06 - Biblioteca</t>
  </si>
  <si>
    <t>Python</t>
  </si>
  <si>
    <t>Estatística</t>
  </si>
  <si>
    <t>SQL</t>
  </si>
  <si>
    <t>BI</t>
  </si>
  <si>
    <t>Gestão</t>
  </si>
  <si>
    <t>ConfMin &gt;=</t>
  </si>
  <si>
    <t>SupMin &gt;=</t>
  </si>
  <si>
    <t>ID</t>
  </si>
  <si>
    <t>A</t>
  </si>
  <si>
    <t>B</t>
  </si>
  <si>
    <t>C</t>
  </si>
  <si>
    <t>D</t>
  </si>
  <si>
    <t>E</t>
  </si>
  <si>
    <t>F</t>
  </si>
  <si>
    <t>X</t>
  </si>
  <si>
    <t>SupIndividual</t>
  </si>
  <si>
    <t>2x2</t>
  </si>
  <si>
    <t>A,C,E,F</t>
  </si>
  <si>
    <t>suporte</t>
  </si>
  <si>
    <t>confiança</t>
  </si>
  <si>
    <t>lift</t>
  </si>
  <si>
    <t>AC</t>
  </si>
  <si>
    <t>AE</t>
  </si>
  <si>
    <t>A-&gt;E</t>
  </si>
  <si>
    <t>E-&gt;A</t>
  </si>
  <si>
    <t>AF</t>
  </si>
  <si>
    <t>CE</t>
  </si>
  <si>
    <t>C-&gt;E</t>
  </si>
  <si>
    <t>E-&gt;C</t>
  </si>
  <si>
    <t>CF</t>
  </si>
  <si>
    <t>C-&gt;F</t>
  </si>
  <si>
    <t>F-&gt;C</t>
  </si>
  <si>
    <t>EF</t>
  </si>
  <si>
    <t>E-&gt;F</t>
  </si>
  <si>
    <t>F-&gt;E</t>
  </si>
  <si>
    <t>3X3</t>
  </si>
  <si>
    <t>ACE</t>
  </si>
  <si>
    <t>C-&gt;EF</t>
  </si>
  <si>
    <t>EF-&gt; C</t>
  </si>
  <si>
    <t>ACF</t>
  </si>
  <si>
    <t>E-&gt;CF</t>
  </si>
  <si>
    <t>CF-&gt;E</t>
  </si>
  <si>
    <t>AEF</t>
  </si>
  <si>
    <t>F-&gt;CE</t>
  </si>
  <si>
    <t>CE-&gt;F</t>
  </si>
  <si>
    <t>CEF</t>
  </si>
  <si>
    <t>4X4</t>
  </si>
  <si>
    <t>C,E,F</t>
  </si>
  <si>
    <t xml:space="preserve">O suporte deve ser maior ou igual a 0,4 e a confiança maior ou igual a 0,8. A resposta final deve apresentar os valores de suporte, confiança e lift. </t>
  </si>
  <si>
    <t>Toy Boy</t>
  </si>
  <si>
    <t>Ragnarok</t>
  </si>
  <si>
    <t>O Último Guardião</t>
  </si>
  <si>
    <t>La Casa de Papel</t>
  </si>
  <si>
    <t>Vis a Vis</t>
  </si>
  <si>
    <t>The Witcher</t>
  </si>
  <si>
    <t>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</si>
</sst>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E3A8A"/>
      <name val="Carlito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/>
      <right/>
      <top style="medium">
        <color rgb="FFED7D31"/>
      </top>
      <bottom style="medium">
        <color rgb="FFED7D31"/>
      </bottom>
      <diagonal/>
    </border>
    <border>
      <left style="medium">
        <color rgb="FFF4B083"/>
      </left>
      <right style="medium">
        <color rgb="FFF4B083"/>
      </right>
      <top/>
      <bottom style="medium">
        <color rgb="FFF4B083"/>
      </bottom>
      <diagonal/>
    </border>
    <border>
      <left/>
      <right style="medium">
        <color rgb="FFF4B083"/>
      </right>
      <top/>
      <bottom style="medium">
        <color rgb="FFF4B083"/>
      </bottom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/>
      <right/>
      <top/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 style="medium">
        <color rgb="FFF4B083"/>
      </left>
      <right style="medium">
        <color rgb="FFF4B083"/>
      </right>
      <top/>
      <bottom/>
      <diagonal/>
    </border>
    <border>
      <left/>
      <right style="medium">
        <color rgb="FFF4B083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0" xfId="0" applyFill="1" applyAlignment="1">
      <alignment wrapText="1"/>
    </xf>
    <xf numFmtId="0" fontId="3" fillId="4" borderId="0" xfId="0" applyFont="1" applyFill="1"/>
    <xf numFmtId="0" fontId="1" fillId="5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left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F4B083"/>
        </left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F4B083"/>
        </left>
        <right style="medium">
          <color rgb="FFF4B083"/>
        </right>
        <top/>
        <bottom/>
      </border>
    </dxf>
    <dxf>
      <border outline="0">
        <bottom style="medium">
          <color rgb="FFED7D31"/>
        </bottom>
      </border>
    </dxf>
    <dxf>
      <border outline="0">
        <top style="medium">
          <color rgb="FFED7D31"/>
        </top>
        <bottom style="medium">
          <color rgb="FFF4B08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ED7D3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158749</xdr:colOff>
      <xdr:row>1</xdr:row>
      <xdr:rowOff>163512</xdr:rowOff>
    </xdr:from>
    <xdr:to>
      <xdr:col>13</xdr:col>
      <xdr:colOff>143319</xdr:colOff>
      <xdr:row>12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02A8C5-4AC0-41D8-8F4B-9B2CA150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3199" y="344487"/>
          <a:ext cx="4099370" cy="19700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E94C63-9057-401A-BB53-10D5E422A9EF}" name="Tabela4" displayName="Tabela4" ref="A3:H15" totalsRowShown="0" headerRowDxfId="13" headerRowBorderDxfId="11" tableBorderDxfId="12">
  <autoFilter ref="A3:H15" xr:uid="{00E94C63-9057-401A-BB53-10D5E422A9EF}"/>
  <tableColumns count="8">
    <tableColumn id="1" xr3:uid="{AE0CBA18-5CA9-454F-8C20-ECF1732A4068}" name="ID" dataDxfId="9" totalsRowDxfId="10"/>
    <tableColumn id="2" xr3:uid="{A594FD29-5DD3-47E4-9685-C8A47FDECCF5}" name="Toy Boy" dataDxfId="7" totalsRowDxfId="8"/>
    <tableColumn id="3" xr3:uid="{E3BAD533-4E22-4279-B5D0-A41340EC90EC}" name="Ragnarok" totalsRowDxfId="6"/>
    <tableColumn id="4" xr3:uid="{AE46728E-5F68-4A9B-B182-A0E90EB602AA}" name="O Último Guardião" totalsRowDxfId="5"/>
    <tableColumn id="5" xr3:uid="{99C4E199-54D2-445B-9EAD-751927800EE7}" name="La Casa de Papel" dataDxfId="3" totalsRowDxfId="4"/>
    <tableColumn id="6" xr3:uid="{41AC7170-2E80-49A7-AC87-A52278A18E99}" name="Vis a Vis" totalsRowDxfId="2"/>
    <tableColumn id="7" xr3:uid="{D021E3CB-F81F-428F-922C-90079AC9F830}" name="The Witcher" totalsRowDxfId="1"/>
    <tableColumn id="8" xr3:uid="{674D1019-BA80-4775-8BC4-75A52D04768E}" name="Elite" totalsRowDxfId="0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nstrucoes" displayName="TabelaInstrucoes" ref="A4:E10">
  <tableColumns count="5">
    <tableColumn id="1" xr3:uid="{00000000-0010-0000-0000-000001000000}" name="Base"/>
    <tableColumn id="2" xr3:uid="{00000000-0010-0000-0000-000002000000}" name="Contexto / desafio"/>
    <tableColumn id="3" xr3:uid="{00000000-0010-0000-0000-000003000000}" name="Itens"/>
    <tableColumn id="4" xr3:uid="{00000000-0010-0000-0000-000004000000}" name="Grupos sugeridos"/>
    <tableColumn id="5" xr3:uid="{00000000-0010-0000-0000-000005000000}" name="Observação didáti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01Cafeteria" displayName="Tabela01Cafeteria" ref="A4:F29">
  <tableColumns count="6">
    <tableColumn id="1" xr3:uid="{00000000-0010-0000-0100-000001000000}" name="TID"/>
    <tableColumn id="2" xr3:uid="{00000000-0010-0000-0100-000002000000}" name="Café"/>
    <tableColumn id="3" xr3:uid="{00000000-0010-0000-0100-000003000000}" name="PãoQueijo"/>
    <tableColumn id="4" xr3:uid="{00000000-0010-0000-0100-000004000000}" name="Bolo"/>
    <tableColumn id="5" xr3:uid="{00000000-0010-0000-0100-000005000000}" name="Suco"/>
    <tableColumn id="6" xr3:uid="{00000000-0010-0000-0100-000006000000}" name="Sanduích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02Streaming" displayName="Tabela02Streaming" ref="A4:F29">
  <tableColumns count="6">
    <tableColumn id="1" xr3:uid="{00000000-0010-0000-0200-000001000000}" name="TID"/>
    <tableColumn id="2" xr3:uid="{00000000-0010-0000-0200-000002000000}" name="Terror"/>
    <tableColumn id="3" xr3:uid="{00000000-0010-0000-0200-000003000000}" name="Ficção"/>
    <tableColumn id="4" xr3:uid="{00000000-0010-0000-0200-000004000000}" name="Comédia"/>
    <tableColumn id="5" xr3:uid="{00000000-0010-0000-0200-000005000000}" name="Ação"/>
    <tableColumn id="6" xr3:uid="{00000000-0010-0000-0200-000006000000}" name="Documentá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03Farmacia" displayName="Tabela03Farmacia" ref="A4:F29">
  <tableColumns count="6">
    <tableColumn id="1" xr3:uid="{00000000-0010-0000-0300-000001000000}" name="TID"/>
    <tableColumn id="2" xr3:uid="{00000000-0010-0000-0300-000002000000}" name="Antigripal"/>
    <tableColumn id="3" xr3:uid="{00000000-0010-0000-0300-000003000000}" name="VitaminaC"/>
    <tableColumn id="4" xr3:uid="{00000000-0010-0000-0300-000004000000}" name="Máscara"/>
    <tableColumn id="5" xr3:uid="{00000000-0010-0000-0300-000005000000}" name="Termômetro"/>
    <tableColumn id="6" xr3:uid="{00000000-0010-0000-0300-000006000000}" name="Analgésic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04Gamer" displayName="Tabela04Gamer" ref="A4:F29">
  <tableColumns count="6">
    <tableColumn id="1" xr3:uid="{00000000-0010-0000-0400-000001000000}" name="TID"/>
    <tableColumn id="2" xr3:uid="{00000000-0010-0000-0400-000002000000}" name="Mouse"/>
    <tableColumn id="3" xr3:uid="{00000000-0010-0000-0400-000003000000}" name="Teclado"/>
    <tableColumn id="4" xr3:uid="{00000000-0010-0000-0400-000004000000}" name="Headset"/>
    <tableColumn id="5" xr3:uid="{00000000-0010-0000-0400-000005000000}" name="Webcam"/>
    <tableColumn id="6" xr3:uid="{00000000-0010-0000-0400-000006000000}" name="Monit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05PetShop" displayName="Tabela05PetShop" ref="A4:F29">
  <tableColumns count="6">
    <tableColumn id="1" xr3:uid="{00000000-0010-0000-0500-000001000000}" name="TID"/>
    <tableColumn id="2" xr3:uid="{00000000-0010-0000-0500-000002000000}" name="RaçãoCão"/>
    <tableColumn id="3" xr3:uid="{00000000-0010-0000-0500-000003000000}" name="RaçãoGato"/>
    <tableColumn id="4" xr3:uid="{00000000-0010-0000-0500-000004000000}" name="Brinquedo"/>
    <tableColumn id="5" xr3:uid="{00000000-0010-0000-0500-000005000000}" name="Petisco"/>
    <tableColumn id="6" xr3:uid="{00000000-0010-0000-0500-000006000000}" name="Antipulg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06Biblioteca" displayName="Tabela06Biblioteca" ref="A4:F29">
  <tableColumns count="6">
    <tableColumn id="1" xr3:uid="{00000000-0010-0000-0600-000001000000}" name="TID"/>
    <tableColumn id="2" xr3:uid="{00000000-0010-0000-0600-000002000000}" name="Python"/>
    <tableColumn id="3" xr3:uid="{00000000-0010-0000-0600-000003000000}" name="Estatística"/>
    <tableColumn id="4" xr3:uid="{00000000-0010-0000-0600-000004000000}" name="SQL"/>
    <tableColumn id="5" xr3:uid="{00000000-0010-0000-0600-000005000000}" name="BI"/>
    <tableColumn id="6" xr3:uid="{00000000-0010-0000-0600-000006000000}" name="G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686B-57E6-40B5-93B0-C498B2F51FEB}">
  <dimension ref="A1:J26"/>
  <sheetViews>
    <sheetView tabSelected="1" workbookViewId="0">
      <selection activeCell="F29" sqref="F29"/>
    </sheetView>
  </sheetViews>
  <sheetFormatPr defaultRowHeight="14.25"/>
  <cols>
    <col min="1" max="1" width="10.375" bestFit="1" customWidth="1"/>
    <col min="4" max="4" width="10.375" bestFit="1" customWidth="1"/>
    <col min="5" max="6" width="9.625" customWidth="1"/>
    <col min="7" max="7" width="9.25" customWidth="1"/>
  </cols>
  <sheetData>
    <row r="1" spans="1:9">
      <c r="A1" s="20" t="s">
        <v>79</v>
      </c>
      <c r="B1" s="21">
        <v>0.7</v>
      </c>
    </row>
    <row r="2" spans="1:9" ht="15" thickBot="1">
      <c r="A2" t="s">
        <v>80</v>
      </c>
      <c r="B2" s="3">
        <v>0.6</v>
      </c>
    </row>
    <row r="3" spans="1:9" ht="15" thickBot="1">
      <c r="A3" s="22" t="s">
        <v>81</v>
      </c>
      <c r="B3" s="23" t="s">
        <v>82</v>
      </c>
      <c r="C3" s="23" t="s">
        <v>83</v>
      </c>
      <c r="D3" s="23" t="s">
        <v>84</v>
      </c>
      <c r="E3" s="23" t="s">
        <v>85</v>
      </c>
      <c r="F3" s="23" t="s">
        <v>86</v>
      </c>
      <c r="G3" s="23" t="s">
        <v>87</v>
      </c>
    </row>
    <row r="4" spans="1:9" ht="15.75" thickBot="1">
      <c r="A4" s="24">
        <v>1</v>
      </c>
      <c r="B4" s="25" t="s">
        <v>88</v>
      </c>
      <c r="C4" s="25"/>
      <c r="D4" s="25" t="s">
        <v>88</v>
      </c>
      <c r="E4" s="25" t="s">
        <v>88</v>
      </c>
      <c r="F4" s="26" t="s">
        <v>88</v>
      </c>
      <c r="G4" s="26" t="s">
        <v>88</v>
      </c>
    </row>
    <row r="5" spans="1:9" ht="15.75" thickBot="1">
      <c r="A5" s="27">
        <v>2</v>
      </c>
      <c r="B5" s="28" t="s">
        <v>88</v>
      </c>
      <c r="C5" s="28" t="s">
        <v>88</v>
      </c>
      <c r="D5" s="28"/>
      <c r="E5" s="29"/>
      <c r="F5" s="29" t="s">
        <v>88</v>
      </c>
      <c r="G5" s="28"/>
    </row>
    <row r="6" spans="1:9" ht="15.75" thickBot="1">
      <c r="A6" s="24">
        <v>3</v>
      </c>
      <c r="B6" s="26"/>
      <c r="C6" s="25"/>
      <c r="D6" s="25" t="s">
        <v>88</v>
      </c>
      <c r="E6" s="26"/>
      <c r="F6" s="26" t="s">
        <v>88</v>
      </c>
      <c r="G6" s="25" t="s">
        <v>88</v>
      </c>
    </row>
    <row r="7" spans="1:9" ht="15.75" thickBot="1">
      <c r="A7" s="27">
        <v>4</v>
      </c>
      <c r="B7" s="28"/>
      <c r="C7" s="29"/>
      <c r="D7" s="28" t="s">
        <v>88</v>
      </c>
      <c r="E7" s="28" t="s">
        <v>88</v>
      </c>
      <c r="F7" s="29"/>
      <c r="G7" s="28" t="s">
        <v>88</v>
      </c>
    </row>
    <row r="8" spans="1:9" ht="15.75" thickBot="1">
      <c r="A8" s="24">
        <v>5</v>
      </c>
      <c r="B8" s="25" t="s">
        <v>88</v>
      </c>
      <c r="C8" s="25"/>
      <c r="D8" s="26" t="s">
        <v>88</v>
      </c>
      <c r="E8" s="25"/>
      <c r="F8" s="25" t="s">
        <v>88</v>
      </c>
      <c r="G8" s="26" t="s">
        <v>88</v>
      </c>
    </row>
    <row r="9" spans="1:9">
      <c r="B9" s="3">
        <f>COUNTIF(B4:B8,"=X")</f>
        <v>3</v>
      </c>
      <c r="C9" s="3">
        <f t="shared" ref="C9:G9" si="0">COUNTIF(C4:C8,"=X")</f>
        <v>1</v>
      </c>
      <c r="D9" s="3">
        <f t="shared" si="0"/>
        <v>4</v>
      </c>
      <c r="E9" s="3">
        <f t="shared" si="0"/>
        <v>2</v>
      </c>
      <c r="F9" s="3">
        <f t="shared" si="0"/>
        <v>4</v>
      </c>
      <c r="G9" s="3">
        <f t="shared" si="0"/>
        <v>4</v>
      </c>
    </row>
    <row r="10" spans="1:9" ht="15">
      <c r="A10" t="s">
        <v>89</v>
      </c>
      <c r="B10" s="30">
        <f>B9/$A$8</f>
        <v>0.6</v>
      </c>
      <c r="C10" s="31">
        <f t="shared" ref="C10:G10" si="1">C9/$A$8</f>
        <v>0.2</v>
      </c>
      <c r="D10" s="30">
        <f t="shared" si="1"/>
        <v>0.8</v>
      </c>
      <c r="E10" s="31">
        <f t="shared" si="1"/>
        <v>0.4</v>
      </c>
      <c r="F10" s="30">
        <f t="shared" si="1"/>
        <v>0.8</v>
      </c>
      <c r="G10" s="30">
        <f t="shared" si="1"/>
        <v>0.8</v>
      </c>
    </row>
    <row r="12" spans="1:9">
      <c r="A12" t="s">
        <v>90</v>
      </c>
      <c r="B12" s="3" t="s">
        <v>91</v>
      </c>
      <c r="C12" s="3" t="s">
        <v>92</v>
      </c>
      <c r="E12" s="3" t="s">
        <v>93</v>
      </c>
      <c r="F12" s="3" t="s">
        <v>94</v>
      </c>
      <c r="H12" s="3" t="s">
        <v>93</v>
      </c>
      <c r="I12" s="3" t="s">
        <v>94</v>
      </c>
    </row>
    <row r="13" spans="1:9" ht="15">
      <c r="A13" t="s">
        <v>95</v>
      </c>
      <c r="B13" s="3">
        <f>COUNTIFS(B4:B8,"=x",D4:D8,"=x")</f>
        <v>2</v>
      </c>
      <c r="C13" s="31">
        <f>B13/$A$8</f>
        <v>0.4</v>
      </c>
    </row>
    <row r="14" spans="1:9">
      <c r="A14" t="s">
        <v>96</v>
      </c>
      <c r="B14" s="3">
        <f>COUNTIFS(B4:B8,"=x",F4:F8,"=x")</f>
        <v>3</v>
      </c>
      <c r="C14" s="30">
        <f t="shared" ref="C14:C18" si="2">B14/$A$8</f>
        <v>0.6</v>
      </c>
      <c r="D14" s="32" t="s">
        <v>97</v>
      </c>
      <c r="E14" s="33">
        <f>B14/B9</f>
        <v>1</v>
      </c>
      <c r="F14" s="32">
        <f>E14/F10</f>
        <v>1.25</v>
      </c>
      <c r="G14" s="32" t="s">
        <v>98</v>
      </c>
      <c r="H14" s="33">
        <f>B14/F9</f>
        <v>0.75</v>
      </c>
      <c r="I14" s="32">
        <f>H14/B10</f>
        <v>1.25</v>
      </c>
    </row>
    <row r="15" spans="1:9" ht="15">
      <c r="A15" t="s">
        <v>99</v>
      </c>
      <c r="B15" s="3">
        <f>COUNTIFS(B4:B8,"=x",G4:G8,"=x")</f>
        <v>2</v>
      </c>
      <c r="C15" s="31">
        <f t="shared" si="2"/>
        <v>0.4</v>
      </c>
      <c r="D15" s="3"/>
      <c r="E15" s="3"/>
      <c r="F15" s="3"/>
      <c r="G15" s="3"/>
      <c r="H15" s="3"/>
      <c r="I15" s="3"/>
    </row>
    <row r="16" spans="1:9">
      <c r="A16" t="s">
        <v>100</v>
      </c>
      <c r="B16" s="3">
        <f>COUNTIFS(D4:D8,"=x",F4:F8,"=x")</f>
        <v>3</v>
      </c>
      <c r="C16" s="30">
        <f t="shared" si="2"/>
        <v>0.6</v>
      </c>
      <c r="D16" s="33" t="s">
        <v>101</v>
      </c>
      <c r="E16" s="33">
        <f>B16/D9</f>
        <v>0.75</v>
      </c>
      <c r="F16" s="3">
        <f>E16/F10</f>
        <v>0.9375</v>
      </c>
      <c r="G16" s="33" t="s">
        <v>102</v>
      </c>
      <c r="H16" s="33">
        <f>B16/F9</f>
        <v>0.75</v>
      </c>
      <c r="I16" s="3">
        <f>H16/D10</f>
        <v>0.9375</v>
      </c>
    </row>
    <row r="17" spans="1:10">
      <c r="A17" t="s">
        <v>103</v>
      </c>
      <c r="B17" s="3">
        <f>COUNTIFS(D4:D8,"=x",G4:G8,"=x")</f>
        <v>4</v>
      </c>
      <c r="C17" s="30">
        <f t="shared" si="2"/>
        <v>0.8</v>
      </c>
      <c r="D17" s="32" t="s">
        <v>104</v>
      </c>
      <c r="E17" s="33">
        <f>B17/D9</f>
        <v>1</v>
      </c>
      <c r="F17" s="32">
        <f>E17/G10</f>
        <v>1.25</v>
      </c>
      <c r="G17" s="32" t="s">
        <v>105</v>
      </c>
      <c r="H17" s="33">
        <f>B17/G9</f>
        <v>1</v>
      </c>
      <c r="I17" s="32">
        <f>H17/D10</f>
        <v>1.25</v>
      </c>
    </row>
    <row r="18" spans="1:10">
      <c r="A18" t="s">
        <v>106</v>
      </c>
      <c r="B18" s="3">
        <f>COUNTIFS(F4:F8,"=x",G4:G8,"=x")</f>
        <v>3</v>
      </c>
      <c r="C18" s="30">
        <f t="shared" si="2"/>
        <v>0.6</v>
      </c>
      <c r="D18" s="33" t="s">
        <v>107</v>
      </c>
      <c r="E18" s="33">
        <f>B18/F9</f>
        <v>0.75</v>
      </c>
      <c r="F18" s="3">
        <f>E18/G10</f>
        <v>0.9375</v>
      </c>
      <c r="G18" s="33" t="s">
        <v>108</v>
      </c>
      <c r="H18" s="33">
        <f>B18/G9</f>
        <v>0.75</v>
      </c>
      <c r="I18" s="3">
        <f>H18/F10</f>
        <v>0.9375</v>
      </c>
    </row>
    <row r="19" spans="1:10">
      <c r="I19" s="3"/>
    </row>
    <row r="20" spans="1:10">
      <c r="A20" t="s">
        <v>109</v>
      </c>
      <c r="B20" s="3" t="s">
        <v>91</v>
      </c>
      <c r="C20" s="3" t="s">
        <v>92</v>
      </c>
      <c r="D20" s="3"/>
      <c r="E20" s="3" t="s">
        <v>93</v>
      </c>
      <c r="F20" s="3" t="s">
        <v>94</v>
      </c>
      <c r="G20" s="3"/>
      <c r="H20" s="3" t="s">
        <v>93</v>
      </c>
      <c r="I20" s="3" t="s">
        <v>94</v>
      </c>
      <c r="J20" s="3"/>
    </row>
    <row r="21" spans="1:10" ht="15">
      <c r="A21" t="s">
        <v>110</v>
      </c>
      <c r="B21" s="3">
        <f>COUNTIFS(B4:B8,"=X",D4:D8,"=X",F4:F8,"=X")</f>
        <v>2</v>
      </c>
      <c r="C21" s="31">
        <f>B21/$A$8</f>
        <v>0.4</v>
      </c>
      <c r="D21" s="32" t="s">
        <v>111</v>
      </c>
      <c r="E21" s="33">
        <f>$B$24/D9</f>
        <v>0.75</v>
      </c>
      <c r="F21" s="32">
        <f>E21/C18</f>
        <v>1.25</v>
      </c>
      <c r="G21" s="32" t="s">
        <v>112</v>
      </c>
      <c r="H21" s="33">
        <f>$B$24/B18</f>
        <v>1</v>
      </c>
      <c r="I21" s="32">
        <f>H21/D10</f>
        <v>1.25</v>
      </c>
    </row>
    <row r="22" spans="1:10" ht="15">
      <c r="A22" t="s">
        <v>113</v>
      </c>
      <c r="B22" s="3">
        <f>COUNTIFS(B4:B8,"=X",D4:D8,"=X",G4:G8,"=X")</f>
        <v>2</v>
      </c>
      <c r="C22" s="31">
        <f t="shared" ref="C22:C24" si="3">B22/$A$8</f>
        <v>0.4</v>
      </c>
      <c r="D22" s="33" t="s">
        <v>114</v>
      </c>
      <c r="E22" s="33">
        <f>$B$24/F9</f>
        <v>0.75</v>
      </c>
      <c r="F22" s="3">
        <f>E22/C17</f>
        <v>0.9375</v>
      </c>
      <c r="G22" s="33" t="s">
        <v>115</v>
      </c>
      <c r="H22" s="33">
        <f>$B$24/B17</f>
        <v>0.75</v>
      </c>
      <c r="I22" s="3">
        <f>H22/F10</f>
        <v>0.9375</v>
      </c>
    </row>
    <row r="23" spans="1:10" ht="15">
      <c r="A23" t="s">
        <v>116</v>
      </c>
      <c r="B23" s="3">
        <f>COUNTIFS(B4:B8,"=X",F4:F8,"=X",G4:G8,"=X")</f>
        <v>2</v>
      </c>
      <c r="C23" s="31">
        <f t="shared" si="3"/>
        <v>0.4</v>
      </c>
      <c r="D23" s="32" t="s">
        <v>117</v>
      </c>
      <c r="E23" s="33">
        <f>$B$24/G9</f>
        <v>0.75</v>
      </c>
      <c r="F23" s="32">
        <f>E23/C16</f>
        <v>1.25</v>
      </c>
      <c r="G23" s="32" t="s">
        <v>118</v>
      </c>
      <c r="H23" s="33">
        <f>$B$24/B16</f>
        <v>1</v>
      </c>
      <c r="I23" s="32">
        <f>H23/G10</f>
        <v>1.25</v>
      </c>
    </row>
    <row r="24" spans="1:10">
      <c r="A24" t="s">
        <v>119</v>
      </c>
      <c r="B24" s="3">
        <f>COUNTIFS(D4:D8,"=X",F4:F8,"=X",G4:G8,"=X")</f>
        <v>3</v>
      </c>
      <c r="C24" s="30">
        <f t="shared" si="3"/>
        <v>0.6</v>
      </c>
    </row>
    <row r="26" spans="1:10">
      <c r="A26" t="s">
        <v>120</v>
      </c>
      <c r="B26" t="s">
        <v>121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AA15-3FA2-44CE-9BD2-EE4D22C72442}">
  <dimension ref="A1:J15"/>
  <sheetViews>
    <sheetView workbookViewId="0">
      <selection activeCell="J21" sqref="J21"/>
    </sheetView>
  </sheetViews>
  <sheetFormatPr defaultRowHeight="14.25"/>
  <sheetData>
    <row r="1" spans="1:10" ht="31.5" customHeight="1">
      <c r="A1" s="34" t="s">
        <v>122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ht="26.25" thickBot="1">
      <c r="A3" s="35" t="s">
        <v>81</v>
      </c>
      <c r="B3" s="36" t="s">
        <v>123</v>
      </c>
      <c r="C3" s="36" t="s">
        <v>124</v>
      </c>
      <c r="D3" s="36" t="s">
        <v>125</v>
      </c>
      <c r="E3" s="36" t="s">
        <v>126</v>
      </c>
      <c r="F3" s="36" t="s">
        <v>127</v>
      </c>
      <c r="G3" s="36" t="s">
        <v>128</v>
      </c>
      <c r="H3" s="37" t="s">
        <v>129</v>
      </c>
    </row>
    <row r="4" spans="1:10" ht="15.75" thickBot="1">
      <c r="A4" s="24">
        <v>1</v>
      </c>
      <c r="B4" s="25" t="s">
        <v>88</v>
      </c>
      <c r="C4" s="25" t="s">
        <v>88</v>
      </c>
      <c r="D4" s="25" t="s">
        <v>88</v>
      </c>
      <c r="E4" s="25" t="s">
        <v>88</v>
      </c>
      <c r="F4" s="38"/>
      <c r="G4" s="38"/>
      <c r="H4" s="25" t="s">
        <v>88</v>
      </c>
    </row>
    <row r="5" spans="1:10" ht="15.75" thickBot="1">
      <c r="A5" s="27">
        <v>2</v>
      </c>
      <c r="B5" s="28"/>
      <c r="C5" s="39"/>
      <c r="D5" s="39"/>
      <c r="E5" s="29" t="s">
        <v>88</v>
      </c>
      <c r="F5" s="29" t="s">
        <v>88</v>
      </c>
      <c r="G5" s="39"/>
      <c r="H5" s="39"/>
    </row>
    <row r="6" spans="1:10" ht="15.75" thickBot="1">
      <c r="A6" s="24">
        <v>3</v>
      </c>
      <c r="B6" s="26"/>
      <c r="C6" s="25" t="s">
        <v>88</v>
      </c>
      <c r="D6" s="25" t="s">
        <v>88</v>
      </c>
      <c r="E6" s="38"/>
      <c r="F6" s="38"/>
      <c r="G6" s="25" t="s">
        <v>88</v>
      </c>
      <c r="H6" s="25" t="s">
        <v>88</v>
      </c>
    </row>
    <row r="7" spans="1:10" ht="15.75" thickBot="1">
      <c r="A7" s="27">
        <v>4</v>
      </c>
      <c r="B7" s="28"/>
      <c r="C7" s="29" t="s">
        <v>88</v>
      </c>
      <c r="D7" s="39"/>
      <c r="E7" s="39"/>
      <c r="F7" s="29" t="s">
        <v>88</v>
      </c>
      <c r="G7" s="39"/>
      <c r="H7" s="39"/>
    </row>
    <row r="8" spans="1:10" ht="15.75" thickBot="1">
      <c r="A8" s="24">
        <v>5</v>
      </c>
      <c r="B8" s="25" t="s">
        <v>88</v>
      </c>
      <c r="C8" s="25" t="s">
        <v>88</v>
      </c>
      <c r="D8" s="38"/>
      <c r="E8" s="25" t="s">
        <v>88</v>
      </c>
      <c r="F8" s="25" t="s">
        <v>88</v>
      </c>
      <c r="G8" s="38"/>
      <c r="H8" s="25" t="s">
        <v>88</v>
      </c>
    </row>
    <row r="9" spans="1:10" ht="15.75" thickBot="1">
      <c r="A9" s="27">
        <v>6</v>
      </c>
      <c r="B9" s="28"/>
      <c r="C9" s="39"/>
      <c r="D9" s="29" t="s">
        <v>88</v>
      </c>
      <c r="E9" s="29" t="s">
        <v>88</v>
      </c>
      <c r="F9" s="39"/>
      <c r="G9" s="29" t="s">
        <v>88</v>
      </c>
      <c r="H9" s="29" t="s">
        <v>88</v>
      </c>
    </row>
    <row r="10" spans="1:10" ht="15.75" thickBot="1">
      <c r="A10" s="24">
        <v>7</v>
      </c>
      <c r="B10" s="25" t="s">
        <v>88</v>
      </c>
      <c r="C10" s="25" t="s">
        <v>88</v>
      </c>
      <c r="D10" s="38"/>
      <c r="E10" s="25" t="s">
        <v>88</v>
      </c>
      <c r="F10" s="38"/>
      <c r="G10" s="25" t="s">
        <v>88</v>
      </c>
      <c r="H10" s="25" t="s">
        <v>88</v>
      </c>
    </row>
    <row r="11" spans="1:10" ht="15.75" thickBot="1">
      <c r="A11" s="27">
        <v>8</v>
      </c>
      <c r="B11" s="29" t="s">
        <v>88</v>
      </c>
      <c r="C11" s="39"/>
      <c r="D11" s="29"/>
      <c r="E11" s="29" t="s">
        <v>88</v>
      </c>
      <c r="F11" s="39"/>
      <c r="G11" s="39"/>
      <c r="H11" s="39"/>
    </row>
    <row r="12" spans="1:10" ht="15.75" thickBot="1">
      <c r="A12" s="24">
        <v>9</v>
      </c>
      <c r="B12" s="25" t="s">
        <v>88</v>
      </c>
      <c r="C12" s="25" t="s">
        <v>88</v>
      </c>
      <c r="D12" s="38"/>
      <c r="E12" s="25" t="s">
        <v>88</v>
      </c>
      <c r="F12" s="25" t="s">
        <v>88</v>
      </c>
      <c r="G12" s="38"/>
      <c r="H12" s="25" t="s">
        <v>88</v>
      </c>
    </row>
    <row r="13" spans="1:10" ht="15.75" thickBot="1">
      <c r="A13" s="27">
        <v>10</v>
      </c>
      <c r="B13" s="29" t="s">
        <v>88</v>
      </c>
      <c r="C13" s="39"/>
      <c r="D13" s="39"/>
      <c r="E13" s="29" t="s">
        <v>88</v>
      </c>
      <c r="F13" s="39"/>
      <c r="G13" s="39"/>
      <c r="H13" s="39"/>
    </row>
    <row r="14" spans="1:10" ht="15.75" thickBot="1">
      <c r="A14" s="24">
        <v>11</v>
      </c>
      <c r="B14" s="25" t="s">
        <v>88</v>
      </c>
      <c r="C14" s="25" t="s">
        <v>88</v>
      </c>
      <c r="D14" s="38"/>
      <c r="E14" s="25" t="s">
        <v>88</v>
      </c>
      <c r="F14" s="25" t="s">
        <v>88</v>
      </c>
      <c r="G14" s="38"/>
      <c r="H14" s="25" t="s">
        <v>88</v>
      </c>
    </row>
    <row r="15" spans="1:10">
      <c r="A15" s="40">
        <v>12</v>
      </c>
      <c r="B15" s="41" t="s">
        <v>88</v>
      </c>
      <c r="C15" s="41" t="s">
        <v>88</v>
      </c>
      <c r="D15" s="41" t="s">
        <v>88</v>
      </c>
      <c r="E15" s="41" t="s">
        <v>88</v>
      </c>
      <c r="F15" s="41" t="s">
        <v>88</v>
      </c>
      <c r="G15" s="41" t="s">
        <v>88</v>
      </c>
      <c r="H15" s="41" t="s">
        <v>88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A4" sqref="A4"/>
    </sheetView>
  </sheetViews>
  <sheetFormatPr defaultRowHeight="14.25"/>
  <cols>
    <col min="1" max="1" width="14.875" customWidth="1"/>
    <col min="2" max="2" width="55" customWidth="1"/>
    <col min="3" max="3" width="45" customWidth="1"/>
    <col min="4" max="4" width="14.125" customWidth="1"/>
    <col min="5" max="5" width="45" customWidth="1"/>
  </cols>
  <sheetData>
    <row r="1" spans="1:5" ht="27.95" customHeight="1">
      <c r="A1" s="13" t="s">
        <v>0</v>
      </c>
      <c r="B1" s="13"/>
      <c r="C1" s="13"/>
      <c r="D1" s="13"/>
      <c r="E1" s="13"/>
    </row>
    <row r="2" spans="1:5" ht="42" customHeight="1">
      <c r="A2" s="11" t="s">
        <v>1</v>
      </c>
      <c r="B2" s="11"/>
      <c r="C2" s="11"/>
      <c r="D2" s="11"/>
      <c r="E2" s="11"/>
    </row>
    <row r="4" spans="1:5" ht="3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28.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 ht="28.5">
      <c r="A6" s="1" t="s">
        <v>12</v>
      </c>
      <c r="B6" s="1" t="s">
        <v>13</v>
      </c>
      <c r="C6" s="1" t="s">
        <v>14</v>
      </c>
      <c r="D6" s="1" t="s">
        <v>15</v>
      </c>
      <c r="E6" s="1" t="s">
        <v>11</v>
      </c>
    </row>
    <row r="7" spans="1:5" ht="28.5">
      <c r="A7" s="1" t="s">
        <v>16</v>
      </c>
      <c r="B7" s="1" t="s">
        <v>17</v>
      </c>
      <c r="C7" s="1" t="s">
        <v>18</v>
      </c>
      <c r="D7" s="1" t="s">
        <v>19</v>
      </c>
      <c r="E7" s="1" t="s">
        <v>11</v>
      </c>
    </row>
    <row r="8" spans="1:5" ht="28.5">
      <c r="A8" s="1" t="s">
        <v>20</v>
      </c>
      <c r="B8" s="1" t="s">
        <v>21</v>
      </c>
      <c r="C8" s="1" t="s">
        <v>22</v>
      </c>
      <c r="D8" s="1" t="s">
        <v>23</v>
      </c>
      <c r="E8" s="1" t="s">
        <v>11</v>
      </c>
    </row>
    <row r="9" spans="1:5" ht="28.5">
      <c r="A9" s="1" t="s">
        <v>24</v>
      </c>
      <c r="B9" s="1" t="s">
        <v>25</v>
      </c>
      <c r="C9" s="1" t="s">
        <v>26</v>
      </c>
      <c r="D9" s="1" t="s">
        <v>27</v>
      </c>
      <c r="E9" s="1" t="s">
        <v>11</v>
      </c>
    </row>
    <row r="10" spans="1:5" ht="28.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11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>
      <selection activeCell="H20" sqref="H20"/>
    </sheetView>
  </sheetViews>
  <sheetFormatPr defaultRowHeight="14.25"/>
  <cols>
    <col min="1" max="1" width="11.625" customWidth="1"/>
    <col min="2" max="2" width="9.75" customWidth="1"/>
    <col min="3" max="3" width="13.25" customWidth="1"/>
    <col min="4" max="4" width="6.875" customWidth="1"/>
    <col min="5" max="5" width="14.5" customWidth="1"/>
    <col min="6" max="6" width="14.875" customWidth="1"/>
    <col min="8" max="8" width="18" customWidth="1"/>
    <col min="9" max="10" width="12" customWidth="1"/>
    <col min="11" max="11" width="20" customWidth="1"/>
  </cols>
  <sheetData>
    <row r="1" spans="1:11" ht="27.95" customHeight="1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42" customHeight="1">
      <c r="A2" s="14" t="s">
        <v>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15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H4" s="6" t="s">
        <v>39</v>
      </c>
      <c r="I4" s="6" t="s">
        <v>40</v>
      </c>
      <c r="J4" s="6" t="s">
        <v>41</v>
      </c>
      <c r="K4" s="6" t="s">
        <v>42</v>
      </c>
    </row>
    <row r="5" spans="1:11">
      <c r="A5" s="5">
        <v>1</v>
      </c>
      <c r="B5" s="5">
        <v>1</v>
      </c>
      <c r="C5" s="5">
        <v>1</v>
      </c>
      <c r="D5" s="5">
        <v>0</v>
      </c>
      <c r="E5" s="5">
        <v>0</v>
      </c>
      <c r="F5" s="5">
        <v>0</v>
      </c>
      <c r="H5" s="7" t="s">
        <v>34</v>
      </c>
      <c r="I5" s="7"/>
      <c r="J5" s="8"/>
      <c r="K5" s="7"/>
    </row>
    <row r="6" spans="1:11">
      <c r="A6" s="5">
        <v>2</v>
      </c>
      <c r="B6" s="5">
        <v>1</v>
      </c>
      <c r="C6" s="5">
        <v>1</v>
      </c>
      <c r="D6" s="5">
        <v>0</v>
      </c>
      <c r="E6" s="5">
        <v>1</v>
      </c>
      <c r="F6" s="5">
        <v>0</v>
      </c>
      <c r="H6" s="7" t="s">
        <v>35</v>
      </c>
      <c r="I6" s="7"/>
      <c r="J6" s="8"/>
      <c r="K6" s="7"/>
    </row>
    <row r="7" spans="1:11">
      <c r="A7" s="5">
        <v>3</v>
      </c>
      <c r="B7" s="5">
        <v>1</v>
      </c>
      <c r="C7" s="5">
        <v>1</v>
      </c>
      <c r="D7" s="5">
        <v>1</v>
      </c>
      <c r="E7" s="5">
        <v>0</v>
      </c>
      <c r="F7" s="5">
        <v>0</v>
      </c>
      <c r="H7" s="7" t="s">
        <v>36</v>
      </c>
      <c r="I7" s="7"/>
      <c r="J7" s="8"/>
      <c r="K7" s="7"/>
    </row>
    <row r="8" spans="1:11">
      <c r="A8" s="5">
        <v>4</v>
      </c>
      <c r="B8" s="5">
        <v>1</v>
      </c>
      <c r="C8" s="5">
        <v>0</v>
      </c>
      <c r="D8" s="5">
        <v>1</v>
      </c>
      <c r="E8" s="5">
        <v>0</v>
      </c>
      <c r="F8" s="5">
        <v>0</v>
      </c>
      <c r="H8" s="7" t="s">
        <v>37</v>
      </c>
      <c r="I8" s="7"/>
      <c r="J8" s="8"/>
      <c r="K8" s="7"/>
    </row>
    <row r="9" spans="1:11">
      <c r="A9" s="5">
        <v>5</v>
      </c>
      <c r="B9" s="5">
        <v>1</v>
      </c>
      <c r="C9" s="5">
        <v>1</v>
      </c>
      <c r="D9" s="5">
        <v>0</v>
      </c>
      <c r="E9" s="5">
        <v>0</v>
      </c>
      <c r="F9" s="5">
        <v>0</v>
      </c>
      <c r="H9" s="7" t="s">
        <v>38</v>
      </c>
      <c r="I9" s="7"/>
      <c r="J9" s="8"/>
      <c r="K9" s="7"/>
    </row>
    <row r="10" spans="1:11">
      <c r="A10" s="5">
        <v>6</v>
      </c>
      <c r="B10" s="5">
        <v>0</v>
      </c>
      <c r="C10" s="5">
        <v>0</v>
      </c>
      <c r="D10" s="5">
        <v>1</v>
      </c>
      <c r="E10" s="5">
        <v>1</v>
      </c>
      <c r="F10" s="5">
        <v>1</v>
      </c>
    </row>
    <row r="11" spans="1:11">
      <c r="A11" s="5">
        <v>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</row>
    <row r="12" spans="1:11">
      <c r="A12" s="5">
        <v>8</v>
      </c>
      <c r="B12" s="5">
        <v>0</v>
      </c>
      <c r="C12" s="5">
        <v>0</v>
      </c>
      <c r="D12" s="5">
        <v>0</v>
      </c>
      <c r="E12" s="5">
        <v>1</v>
      </c>
      <c r="F12" s="5">
        <v>1</v>
      </c>
    </row>
    <row r="13" spans="1:11">
      <c r="A13" s="5">
        <v>9</v>
      </c>
      <c r="B13" s="5">
        <v>1</v>
      </c>
      <c r="C13" s="5">
        <v>0</v>
      </c>
      <c r="D13" s="5">
        <v>1</v>
      </c>
      <c r="E13" s="5">
        <v>0</v>
      </c>
      <c r="F13" s="5">
        <v>0</v>
      </c>
    </row>
    <row r="14" spans="1:11">
      <c r="A14" s="5">
        <v>10</v>
      </c>
      <c r="B14" s="5">
        <v>1</v>
      </c>
      <c r="C14" s="5">
        <v>1</v>
      </c>
      <c r="D14" s="5">
        <v>0</v>
      </c>
      <c r="E14" s="5">
        <v>0</v>
      </c>
      <c r="F14" s="5">
        <v>1</v>
      </c>
    </row>
    <row r="15" spans="1:11">
      <c r="A15" s="5">
        <v>11</v>
      </c>
      <c r="B15" s="5">
        <v>1</v>
      </c>
      <c r="C15" s="5">
        <v>1</v>
      </c>
      <c r="D15" s="5">
        <v>0</v>
      </c>
      <c r="E15" s="5">
        <v>0</v>
      </c>
      <c r="F15" s="5">
        <v>0</v>
      </c>
    </row>
    <row r="16" spans="1:11">
      <c r="A16" s="5">
        <v>12</v>
      </c>
      <c r="B16" s="5">
        <v>0</v>
      </c>
      <c r="C16" s="5">
        <v>0</v>
      </c>
      <c r="D16" s="5">
        <v>1</v>
      </c>
      <c r="E16" s="5">
        <v>1</v>
      </c>
      <c r="F16" s="5">
        <v>1</v>
      </c>
    </row>
    <row r="17" spans="1:6">
      <c r="A17" s="5">
        <v>13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</row>
    <row r="18" spans="1:6">
      <c r="A18" s="5">
        <v>14</v>
      </c>
      <c r="B18" s="5">
        <v>1</v>
      </c>
      <c r="C18" s="5">
        <v>1</v>
      </c>
      <c r="D18" s="5">
        <v>1</v>
      </c>
      <c r="E18" s="5">
        <v>0</v>
      </c>
      <c r="F18" s="5">
        <v>0</v>
      </c>
    </row>
    <row r="19" spans="1:6">
      <c r="A19" s="5">
        <v>15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</row>
    <row r="20" spans="1:6">
      <c r="A20" s="5">
        <v>16</v>
      </c>
      <c r="B20" s="5">
        <v>1</v>
      </c>
      <c r="C20" s="5">
        <v>1</v>
      </c>
      <c r="D20" s="5">
        <v>0</v>
      </c>
      <c r="E20" s="5">
        <v>0</v>
      </c>
      <c r="F20" s="5">
        <v>0</v>
      </c>
    </row>
    <row r="21" spans="1:6">
      <c r="A21" s="5">
        <v>17</v>
      </c>
      <c r="B21" s="5">
        <v>1</v>
      </c>
      <c r="C21" s="5">
        <v>0</v>
      </c>
      <c r="D21" s="5">
        <v>1</v>
      </c>
      <c r="E21" s="5">
        <v>0</v>
      </c>
      <c r="F21" s="5">
        <v>0</v>
      </c>
    </row>
    <row r="22" spans="1:6">
      <c r="A22" s="5">
        <v>18</v>
      </c>
      <c r="B22" s="5">
        <v>1</v>
      </c>
      <c r="C22" s="5">
        <v>1</v>
      </c>
      <c r="D22" s="5">
        <v>0</v>
      </c>
      <c r="E22" s="5">
        <v>1</v>
      </c>
      <c r="F22" s="5">
        <v>1</v>
      </c>
    </row>
    <row r="23" spans="1:6">
      <c r="A23" s="5">
        <v>19</v>
      </c>
      <c r="B23" s="5">
        <v>0</v>
      </c>
      <c r="C23" s="5">
        <v>0</v>
      </c>
      <c r="D23" s="5">
        <v>1</v>
      </c>
      <c r="E23" s="5">
        <v>0</v>
      </c>
      <c r="F23" s="5">
        <v>0</v>
      </c>
    </row>
    <row r="24" spans="1:6">
      <c r="A24" s="5">
        <v>20</v>
      </c>
      <c r="B24" s="5">
        <v>1</v>
      </c>
      <c r="C24" s="5">
        <v>1</v>
      </c>
      <c r="D24" s="5">
        <v>0</v>
      </c>
      <c r="E24" s="5">
        <v>0</v>
      </c>
      <c r="F24" s="5">
        <v>0</v>
      </c>
    </row>
    <row r="25" spans="1:6">
      <c r="A25" s="5">
        <v>21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</row>
    <row r="26" spans="1:6">
      <c r="A26" s="5">
        <v>22</v>
      </c>
      <c r="B26" s="5">
        <v>0</v>
      </c>
      <c r="C26" s="5">
        <v>0</v>
      </c>
      <c r="D26" s="5">
        <v>1</v>
      </c>
      <c r="E26" s="5">
        <v>1</v>
      </c>
      <c r="F26" s="5">
        <v>1</v>
      </c>
    </row>
    <row r="27" spans="1:6">
      <c r="A27" s="5">
        <v>23</v>
      </c>
      <c r="B27" s="5">
        <v>1</v>
      </c>
      <c r="C27" s="5">
        <v>1</v>
      </c>
      <c r="D27" s="5">
        <v>0</v>
      </c>
      <c r="E27" s="5">
        <v>0</v>
      </c>
      <c r="F27" s="5">
        <v>0</v>
      </c>
    </row>
    <row r="28" spans="1:6">
      <c r="A28" s="5">
        <v>24</v>
      </c>
      <c r="B28" s="5">
        <v>1</v>
      </c>
      <c r="C28" s="5">
        <v>0</v>
      </c>
      <c r="D28" s="5">
        <v>1</v>
      </c>
      <c r="E28" s="5">
        <v>0</v>
      </c>
      <c r="F28" s="5">
        <v>0</v>
      </c>
    </row>
    <row r="29" spans="1:6">
      <c r="A29" s="5">
        <v>25</v>
      </c>
      <c r="B29" s="5">
        <v>1</v>
      </c>
      <c r="C29" s="5">
        <v>1</v>
      </c>
      <c r="D29" s="5">
        <v>0</v>
      </c>
      <c r="E29" s="5">
        <v>1</v>
      </c>
      <c r="F29" s="5">
        <v>1</v>
      </c>
    </row>
    <row r="31" spans="1:6" ht="15">
      <c r="A31" s="12" t="s">
        <v>43</v>
      </c>
      <c r="B31" s="12"/>
      <c r="C31" s="12"/>
      <c r="D31" s="12"/>
      <c r="E31" s="12"/>
      <c r="F31" s="12"/>
    </row>
    <row r="32" spans="1:6" ht="30">
      <c r="A32" s="9" t="s">
        <v>44</v>
      </c>
      <c r="B32" s="9" t="s">
        <v>41</v>
      </c>
      <c r="C32" s="9" t="s">
        <v>45</v>
      </c>
      <c r="D32" s="9" t="s">
        <v>46</v>
      </c>
      <c r="E32" s="9" t="s">
        <v>47</v>
      </c>
      <c r="F32" s="9" t="s">
        <v>48</v>
      </c>
    </row>
    <row r="33" spans="1:6">
      <c r="A33" s="10"/>
      <c r="B33" s="10"/>
      <c r="C33" s="10"/>
      <c r="D33" s="10"/>
      <c r="E33" s="10"/>
      <c r="F33" s="10"/>
    </row>
    <row r="34" spans="1:6">
      <c r="A34" s="10"/>
      <c r="B34" s="10"/>
      <c r="C34" s="10"/>
      <c r="D34" s="10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</sheetData>
  <mergeCells count="3">
    <mergeCell ref="A31:F31"/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workbookViewId="0">
      <selection sqref="A1:K1"/>
    </sheetView>
  </sheetViews>
  <sheetFormatPr defaultRowHeight="14.25"/>
  <cols>
    <col min="1" max="1" width="8" customWidth="1"/>
    <col min="2" max="2" width="6.5" customWidth="1"/>
    <col min="3" max="3" width="8" customWidth="1"/>
    <col min="4" max="4" width="7.125" customWidth="1"/>
    <col min="5" max="5" width="12" customWidth="1"/>
    <col min="6" max="6" width="13.5" customWidth="1"/>
    <col min="8" max="8" width="18" customWidth="1"/>
    <col min="9" max="10" width="12" customWidth="1"/>
    <col min="11" max="11" width="20" customWidth="1"/>
  </cols>
  <sheetData>
    <row r="1" spans="1:11" ht="27.95" customHeight="1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42" customHeight="1">
      <c r="A2" s="14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15">
      <c r="A4" s="4" t="s">
        <v>33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H4" s="6" t="s">
        <v>39</v>
      </c>
      <c r="I4" s="6" t="s">
        <v>40</v>
      </c>
      <c r="J4" s="6" t="s">
        <v>41</v>
      </c>
      <c r="K4" s="6" t="s">
        <v>42</v>
      </c>
    </row>
    <row r="5" spans="1:11">
      <c r="A5" s="5">
        <v>1</v>
      </c>
      <c r="B5" s="5">
        <v>1</v>
      </c>
      <c r="C5" s="5">
        <v>1</v>
      </c>
      <c r="D5" s="5">
        <v>0</v>
      </c>
      <c r="E5" s="5">
        <v>0</v>
      </c>
      <c r="F5" s="5">
        <v>0</v>
      </c>
      <c r="H5" s="7" t="s">
        <v>50</v>
      </c>
      <c r="I5" s="7"/>
      <c r="J5" s="8"/>
      <c r="K5" s="7"/>
    </row>
    <row r="6" spans="1:11">
      <c r="A6" s="5">
        <v>2</v>
      </c>
      <c r="B6" s="5">
        <v>1</v>
      </c>
      <c r="C6" s="5">
        <v>1</v>
      </c>
      <c r="D6" s="5">
        <v>1</v>
      </c>
      <c r="E6" s="5">
        <v>0</v>
      </c>
      <c r="F6" s="5">
        <v>0</v>
      </c>
      <c r="H6" s="7" t="s">
        <v>51</v>
      </c>
      <c r="I6" s="7"/>
      <c r="J6" s="8"/>
      <c r="K6" s="7"/>
    </row>
    <row r="7" spans="1:11">
      <c r="A7" s="5">
        <v>3</v>
      </c>
      <c r="B7" s="5">
        <v>0</v>
      </c>
      <c r="C7" s="5">
        <v>1</v>
      </c>
      <c r="D7" s="5">
        <v>1</v>
      </c>
      <c r="E7" s="5">
        <v>1</v>
      </c>
      <c r="F7" s="5">
        <v>0</v>
      </c>
      <c r="H7" s="7" t="s">
        <v>52</v>
      </c>
      <c r="I7" s="7"/>
      <c r="J7" s="8"/>
      <c r="K7" s="7"/>
    </row>
    <row r="8" spans="1:11">
      <c r="A8" s="5">
        <v>4</v>
      </c>
      <c r="B8" s="5">
        <v>0</v>
      </c>
      <c r="C8" s="5">
        <v>0</v>
      </c>
      <c r="D8" s="5">
        <v>1</v>
      </c>
      <c r="E8" s="5">
        <v>1</v>
      </c>
      <c r="F8" s="5">
        <v>0</v>
      </c>
      <c r="H8" s="7" t="s">
        <v>53</v>
      </c>
      <c r="I8" s="7"/>
      <c r="J8" s="8"/>
      <c r="K8" s="7"/>
    </row>
    <row r="9" spans="1:11">
      <c r="A9" s="5">
        <v>5</v>
      </c>
      <c r="B9" s="5">
        <v>1</v>
      </c>
      <c r="C9" s="5">
        <v>1</v>
      </c>
      <c r="D9" s="5">
        <v>0</v>
      </c>
      <c r="E9" s="5">
        <v>0</v>
      </c>
      <c r="F9" s="5">
        <v>0</v>
      </c>
      <c r="H9" s="7" t="s">
        <v>54</v>
      </c>
      <c r="I9" s="7"/>
      <c r="J9" s="8"/>
      <c r="K9" s="7"/>
    </row>
    <row r="10" spans="1:11">
      <c r="A10" s="5">
        <v>6</v>
      </c>
      <c r="B10" s="5">
        <v>0</v>
      </c>
      <c r="C10" s="5">
        <v>1</v>
      </c>
      <c r="D10" s="5">
        <v>1</v>
      </c>
      <c r="E10" s="5">
        <v>1</v>
      </c>
      <c r="F10" s="5">
        <v>0</v>
      </c>
    </row>
    <row r="11" spans="1:11">
      <c r="A11" s="5">
        <v>7</v>
      </c>
      <c r="B11" s="5">
        <v>0</v>
      </c>
      <c r="C11" s="5">
        <v>0</v>
      </c>
      <c r="D11" s="5">
        <v>1</v>
      </c>
      <c r="E11" s="5">
        <v>0</v>
      </c>
      <c r="F11" s="5">
        <v>1</v>
      </c>
    </row>
    <row r="12" spans="1:11">
      <c r="A12" s="5">
        <v>8</v>
      </c>
      <c r="B12" s="5">
        <v>1</v>
      </c>
      <c r="C12" s="5">
        <v>1</v>
      </c>
      <c r="D12" s="5">
        <v>1</v>
      </c>
      <c r="E12" s="5">
        <v>0</v>
      </c>
      <c r="F12" s="5">
        <v>0</v>
      </c>
    </row>
    <row r="13" spans="1:11">
      <c r="A13" s="5">
        <v>9</v>
      </c>
      <c r="B13" s="5">
        <v>0</v>
      </c>
      <c r="C13" s="5">
        <v>1</v>
      </c>
      <c r="D13" s="5">
        <v>1</v>
      </c>
      <c r="E13" s="5">
        <v>1</v>
      </c>
      <c r="F13" s="5">
        <v>0</v>
      </c>
    </row>
    <row r="14" spans="1:11">
      <c r="A14" s="5">
        <v>10</v>
      </c>
      <c r="B14" s="5">
        <v>0</v>
      </c>
      <c r="C14" s="5">
        <v>0</v>
      </c>
      <c r="D14" s="5">
        <v>1</v>
      </c>
      <c r="E14" s="5">
        <v>1</v>
      </c>
      <c r="F14" s="5">
        <v>0</v>
      </c>
    </row>
    <row r="15" spans="1:11">
      <c r="A15" s="5">
        <v>11</v>
      </c>
      <c r="B15" s="5">
        <v>1</v>
      </c>
      <c r="C15" s="5">
        <v>1</v>
      </c>
      <c r="D15" s="5">
        <v>0</v>
      </c>
      <c r="E15" s="5">
        <v>0</v>
      </c>
      <c r="F15" s="5">
        <v>0</v>
      </c>
    </row>
    <row r="16" spans="1:11">
      <c r="A16" s="5">
        <v>12</v>
      </c>
      <c r="B16" s="5">
        <v>0</v>
      </c>
      <c r="C16" s="5">
        <v>0</v>
      </c>
      <c r="D16" s="5">
        <v>1</v>
      </c>
      <c r="E16" s="5">
        <v>0</v>
      </c>
      <c r="F16" s="5">
        <v>1</v>
      </c>
    </row>
    <row r="17" spans="1:6">
      <c r="A17" s="5">
        <v>13</v>
      </c>
      <c r="B17" s="5">
        <v>0</v>
      </c>
      <c r="C17" s="5">
        <v>1</v>
      </c>
      <c r="D17" s="5">
        <v>1</v>
      </c>
      <c r="E17" s="5">
        <v>1</v>
      </c>
      <c r="F17" s="5">
        <v>0</v>
      </c>
    </row>
    <row r="18" spans="1:6">
      <c r="A18" s="5">
        <v>14</v>
      </c>
      <c r="B18" s="5">
        <v>1</v>
      </c>
      <c r="C18" s="5">
        <v>1</v>
      </c>
      <c r="D18" s="5">
        <v>1</v>
      </c>
      <c r="E18" s="5">
        <v>0</v>
      </c>
      <c r="F18" s="5">
        <v>0</v>
      </c>
    </row>
    <row r="19" spans="1:6">
      <c r="A19" s="5">
        <v>15</v>
      </c>
      <c r="B19" s="5">
        <v>0</v>
      </c>
      <c r="C19" s="5">
        <v>0</v>
      </c>
      <c r="D19" s="5">
        <v>1</v>
      </c>
      <c r="E19" s="5">
        <v>1</v>
      </c>
      <c r="F19" s="5">
        <v>0</v>
      </c>
    </row>
    <row r="20" spans="1:6">
      <c r="A20" s="5">
        <v>16</v>
      </c>
      <c r="B20" s="5">
        <v>0</v>
      </c>
      <c r="C20" s="5">
        <v>1</v>
      </c>
      <c r="D20" s="5">
        <v>1</v>
      </c>
      <c r="E20" s="5">
        <v>1</v>
      </c>
      <c r="F20" s="5">
        <v>0</v>
      </c>
    </row>
    <row r="21" spans="1:6">
      <c r="A21" s="5">
        <v>17</v>
      </c>
      <c r="B21" s="5">
        <v>1</v>
      </c>
      <c r="C21" s="5">
        <v>1</v>
      </c>
      <c r="D21" s="5">
        <v>0</v>
      </c>
      <c r="E21" s="5">
        <v>0</v>
      </c>
      <c r="F21" s="5">
        <v>0</v>
      </c>
    </row>
    <row r="22" spans="1:6">
      <c r="A22" s="5">
        <v>18</v>
      </c>
      <c r="B22" s="5">
        <v>0</v>
      </c>
      <c r="C22" s="5">
        <v>0</v>
      </c>
      <c r="D22" s="5">
        <v>1</v>
      </c>
      <c r="E22" s="5">
        <v>0</v>
      </c>
      <c r="F22" s="5">
        <v>1</v>
      </c>
    </row>
    <row r="23" spans="1:6">
      <c r="A23" s="5">
        <v>19</v>
      </c>
      <c r="B23" s="5">
        <v>0</v>
      </c>
      <c r="C23" s="5">
        <v>1</v>
      </c>
      <c r="D23" s="5">
        <v>1</v>
      </c>
      <c r="E23" s="5">
        <v>1</v>
      </c>
      <c r="F23" s="5">
        <v>0</v>
      </c>
    </row>
    <row r="24" spans="1:6">
      <c r="A24" s="5">
        <v>20</v>
      </c>
      <c r="B24" s="5">
        <v>1</v>
      </c>
      <c r="C24" s="5">
        <v>1</v>
      </c>
      <c r="D24" s="5">
        <v>1</v>
      </c>
      <c r="E24" s="5">
        <v>0</v>
      </c>
      <c r="F24" s="5">
        <v>0</v>
      </c>
    </row>
    <row r="25" spans="1:6">
      <c r="A25" s="5">
        <v>21</v>
      </c>
      <c r="B25" s="5">
        <v>0</v>
      </c>
      <c r="C25" s="5">
        <v>0</v>
      </c>
      <c r="D25" s="5">
        <v>1</v>
      </c>
      <c r="E25" s="5">
        <v>1</v>
      </c>
      <c r="F25" s="5">
        <v>0</v>
      </c>
    </row>
    <row r="26" spans="1:6">
      <c r="A26" s="5">
        <v>22</v>
      </c>
      <c r="B26" s="5">
        <v>0</v>
      </c>
      <c r="C26" s="5">
        <v>1</v>
      </c>
      <c r="D26" s="5">
        <v>1</v>
      </c>
      <c r="E26" s="5">
        <v>1</v>
      </c>
      <c r="F26" s="5">
        <v>0</v>
      </c>
    </row>
    <row r="27" spans="1:6">
      <c r="A27" s="5">
        <v>23</v>
      </c>
      <c r="B27" s="5">
        <v>1</v>
      </c>
      <c r="C27" s="5">
        <v>1</v>
      </c>
      <c r="D27" s="5">
        <v>0</v>
      </c>
      <c r="E27" s="5">
        <v>0</v>
      </c>
      <c r="F27" s="5">
        <v>0</v>
      </c>
    </row>
    <row r="28" spans="1:6">
      <c r="A28" s="5">
        <v>24</v>
      </c>
      <c r="B28" s="5">
        <v>0</v>
      </c>
      <c r="C28" s="5">
        <v>0</v>
      </c>
      <c r="D28" s="5">
        <v>1</v>
      </c>
      <c r="E28" s="5">
        <v>0</v>
      </c>
      <c r="F28" s="5">
        <v>1</v>
      </c>
    </row>
    <row r="29" spans="1:6">
      <c r="A29" s="5">
        <v>25</v>
      </c>
      <c r="B29" s="5">
        <v>1</v>
      </c>
      <c r="C29" s="5">
        <v>1</v>
      </c>
      <c r="D29" s="5">
        <v>1</v>
      </c>
      <c r="E29" s="5">
        <v>0</v>
      </c>
      <c r="F29" s="5">
        <v>0</v>
      </c>
    </row>
    <row r="31" spans="1:6" ht="15">
      <c r="A31" s="12" t="s">
        <v>43</v>
      </c>
      <c r="B31" s="12"/>
      <c r="C31" s="12"/>
      <c r="D31" s="12"/>
      <c r="E31" s="12"/>
      <c r="F31" s="12"/>
    </row>
    <row r="32" spans="1:6" ht="30">
      <c r="A32" s="9" t="s">
        <v>44</v>
      </c>
      <c r="B32" s="9" t="s">
        <v>41</v>
      </c>
      <c r="C32" s="9" t="s">
        <v>45</v>
      </c>
      <c r="D32" s="9" t="s">
        <v>46</v>
      </c>
      <c r="E32" s="9" t="s">
        <v>47</v>
      </c>
      <c r="F32" s="9" t="s">
        <v>48</v>
      </c>
    </row>
    <row r="33" spans="1:6">
      <c r="A33" s="10"/>
      <c r="B33" s="10"/>
      <c r="C33" s="10"/>
      <c r="D33" s="10"/>
      <c r="E33" s="10"/>
      <c r="F33" s="10"/>
    </row>
    <row r="34" spans="1:6">
      <c r="A34" s="10"/>
      <c r="B34" s="10"/>
      <c r="C34" s="10"/>
      <c r="D34" s="10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</sheetData>
  <mergeCells count="3">
    <mergeCell ref="A31:F31"/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workbookViewId="0">
      <selection sqref="A1:K1"/>
    </sheetView>
  </sheetViews>
  <sheetFormatPr defaultRowHeight="14.25"/>
  <cols>
    <col min="1" max="2" width="8" customWidth="1"/>
    <col min="3" max="3" width="8.375" customWidth="1"/>
    <col min="4" max="4" width="6.875" customWidth="1"/>
    <col min="5" max="5" width="12" customWidth="1"/>
    <col min="6" max="6" width="13.5" customWidth="1"/>
    <col min="8" max="8" width="18" customWidth="1"/>
    <col min="9" max="10" width="12" customWidth="1"/>
    <col min="11" max="11" width="20" customWidth="1"/>
  </cols>
  <sheetData>
    <row r="1" spans="1:11" ht="27.95" customHeight="1">
      <c r="A1" s="17" t="s">
        <v>55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42" customHeight="1">
      <c r="A2" s="14" t="s">
        <v>17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15">
      <c r="A4" s="4" t="s">
        <v>33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H4" s="6" t="s">
        <v>39</v>
      </c>
      <c r="I4" s="6" t="s">
        <v>40</v>
      </c>
      <c r="J4" s="6" t="s">
        <v>41</v>
      </c>
      <c r="K4" s="6" t="s">
        <v>42</v>
      </c>
    </row>
    <row r="5" spans="1:11">
      <c r="A5" s="5">
        <v>1</v>
      </c>
      <c r="B5" s="5">
        <v>1</v>
      </c>
      <c r="C5" s="5">
        <v>1</v>
      </c>
      <c r="D5" s="5">
        <v>1</v>
      </c>
      <c r="E5" s="5">
        <v>0</v>
      </c>
      <c r="F5" s="5">
        <v>0</v>
      </c>
      <c r="H5" s="7" t="s">
        <v>56</v>
      </c>
      <c r="I5" s="7"/>
      <c r="J5" s="8"/>
      <c r="K5" s="7"/>
    </row>
    <row r="6" spans="1:11">
      <c r="A6" s="5">
        <v>2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H6" s="7" t="s">
        <v>57</v>
      </c>
      <c r="I6" s="7"/>
      <c r="J6" s="8"/>
      <c r="K6" s="7"/>
    </row>
    <row r="7" spans="1:11">
      <c r="A7" s="5">
        <v>3</v>
      </c>
      <c r="B7" s="5">
        <v>0</v>
      </c>
      <c r="C7" s="5">
        <v>0</v>
      </c>
      <c r="D7" s="5">
        <v>1</v>
      </c>
      <c r="E7" s="5">
        <v>1</v>
      </c>
      <c r="F7" s="5">
        <v>1</v>
      </c>
      <c r="H7" s="7" t="s">
        <v>58</v>
      </c>
      <c r="I7" s="7"/>
      <c r="J7" s="8"/>
      <c r="K7" s="7"/>
    </row>
    <row r="8" spans="1:11">
      <c r="A8" s="5">
        <v>4</v>
      </c>
      <c r="B8" s="5">
        <v>1</v>
      </c>
      <c r="C8" s="5">
        <v>1</v>
      </c>
      <c r="D8" s="5">
        <v>1</v>
      </c>
      <c r="E8" s="5">
        <v>0</v>
      </c>
      <c r="F8" s="5">
        <v>0</v>
      </c>
      <c r="H8" s="7" t="s">
        <v>59</v>
      </c>
      <c r="I8" s="7"/>
      <c r="J8" s="8"/>
      <c r="K8" s="7"/>
    </row>
    <row r="9" spans="1:11">
      <c r="A9" s="5">
        <v>5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H9" s="7" t="s">
        <v>60</v>
      </c>
      <c r="I9" s="7"/>
      <c r="J9" s="8"/>
      <c r="K9" s="7"/>
    </row>
    <row r="10" spans="1:11">
      <c r="A10" s="5">
        <v>6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</row>
    <row r="11" spans="1:11">
      <c r="A11" s="5">
        <v>7</v>
      </c>
      <c r="B11" s="5">
        <v>0</v>
      </c>
      <c r="C11" s="5">
        <v>0</v>
      </c>
      <c r="D11" s="5">
        <v>1</v>
      </c>
      <c r="E11" s="5">
        <v>1</v>
      </c>
      <c r="F11" s="5">
        <v>1</v>
      </c>
    </row>
    <row r="12" spans="1:11">
      <c r="A12" s="5">
        <v>8</v>
      </c>
      <c r="B12" s="5">
        <v>1</v>
      </c>
      <c r="C12" s="5">
        <v>1</v>
      </c>
      <c r="D12" s="5">
        <v>1</v>
      </c>
      <c r="E12" s="5">
        <v>0</v>
      </c>
      <c r="F12" s="5">
        <v>0</v>
      </c>
    </row>
    <row r="13" spans="1:11">
      <c r="A13" s="5">
        <v>9</v>
      </c>
      <c r="B13" s="5">
        <v>0</v>
      </c>
      <c r="C13" s="5">
        <v>0</v>
      </c>
      <c r="D13" s="5">
        <v>1</v>
      </c>
      <c r="E13" s="5">
        <v>0</v>
      </c>
      <c r="F13" s="5">
        <v>1</v>
      </c>
    </row>
    <row r="14" spans="1:11">
      <c r="A14" s="5">
        <v>10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</row>
    <row r="15" spans="1:11">
      <c r="A15" s="5">
        <v>11</v>
      </c>
      <c r="B15" s="5">
        <v>0</v>
      </c>
      <c r="C15" s="5">
        <v>0</v>
      </c>
      <c r="D15" s="5">
        <v>1</v>
      </c>
      <c r="E15" s="5">
        <v>1</v>
      </c>
      <c r="F15" s="5">
        <v>1</v>
      </c>
    </row>
    <row r="16" spans="1:11">
      <c r="A16" s="5">
        <v>12</v>
      </c>
      <c r="B16" s="5">
        <v>1</v>
      </c>
      <c r="C16" s="5">
        <v>1</v>
      </c>
      <c r="D16" s="5">
        <v>1</v>
      </c>
      <c r="E16" s="5">
        <v>0</v>
      </c>
      <c r="F16" s="5">
        <v>0</v>
      </c>
    </row>
    <row r="17" spans="1:6">
      <c r="A17" s="5">
        <v>13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</row>
    <row r="18" spans="1:6">
      <c r="A18" s="5">
        <v>14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</row>
    <row r="19" spans="1:6">
      <c r="A19" s="5">
        <v>15</v>
      </c>
      <c r="B19" s="5">
        <v>0</v>
      </c>
      <c r="C19" s="5">
        <v>0</v>
      </c>
      <c r="D19" s="5">
        <v>1</v>
      </c>
      <c r="E19" s="5">
        <v>1</v>
      </c>
      <c r="F19" s="5">
        <v>1</v>
      </c>
    </row>
    <row r="20" spans="1:6">
      <c r="A20" s="5">
        <v>16</v>
      </c>
      <c r="B20" s="5">
        <v>1</v>
      </c>
      <c r="C20" s="5">
        <v>1</v>
      </c>
      <c r="D20" s="5">
        <v>1</v>
      </c>
      <c r="E20" s="5">
        <v>0</v>
      </c>
      <c r="F20" s="5">
        <v>0</v>
      </c>
    </row>
    <row r="21" spans="1:6">
      <c r="A21" s="5">
        <v>17</v>
      </c>
      <c r="B21" s="5">
        <v>0</v>
      </c>
      <c r="C21" s="5">
        <v>0</v>
      </c>
      <c r="D21" s="5">
        <v>1</v>
      </c>
      <c r="E21" s="5">
        <v>0</v>
      </c>
      <c r="F21" s="5">
        <v>1</v>
      </c>
    </row>
    <row r="22" spans="1:6">
      <c r="A22" s="5">
        <v>18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</row>
    <row r="23" spans="1:6">
      <c r="A23" s="5">
        <v>19</v>
      </c>
      <c r="B23" s="5">
        <v>0</v>
      </c>
      <c r="C23" s="5">
        <v>0</v>
      </c>
      <c r="D23" s="5">
        <v>1</v>
      </c>
      <c r="E23" s="5">
        <v>1</v>
      </c>
      <c r="F23" s="5">
        <v>1</v>
      </c>
    </row>
    <row r="24" spans="1:6">
      <c r="A24" s="5">
        <v>20</v>
      </c>
      <c r="B24" s="5">
        <v>1</v>
      </c>
      <c r="C24" s="5">
        <v>1</v>
      </c>
      <c r="D24" s="5">
        <v>1</v>
      </c>
      <c r="E24" s="5">
        <v>0</v>
      </c>
      <c r="F24" s="5">
        <v>0</v>
      </c>
    </row>
    <row r="25" spans="1:6">
      <c r="A25" s="5">
        <v>21</v>
      </c>
      <c r="B25" s="5">
        <v>0</v>
      </c>
      <c r="C25" s="5">
        <v>0</v>
      </c>
      <c r="D25" s="5">
        <v>1</v>
      </c>
      <c r="E25" s="5">
        <v>0</v>
      </c>
      <c r="F25" s="5">
        <v>0</v>
      </c>
    </row>
    <row r="26" spans="1:6">
      <c r="A26" s="5">
        <v>22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</row>
    <row r="27" spans="1:6">
      <c r="A27" s="5">
        <v>23</v>
      </c>
      <c r="B27" s="5">
        <v>0</v>
      </c>
      <c r="C27" s="5">
        <v>0</v>
      </c>
      <c r="D27" s="5">
        <v>1</v>
      </c>
      <c r="E27" s="5">
        <v>1</v>
      </c>
      <c r="F27" s="5">
        <v>1</v>
      </c>
    </row>
    <row r="28" spans="1:6">
      <c r="A28" s="5">
        <v>24</v>
      </c>
      <c r="B28" s="5">
        <v>1</v>
      </c>
      <c r="C28" s="5">
        <v>1</v>
      </c>
      <c r="D28" s="5">
        <v>1</v>
      </c>
      <c r="E28" s="5">
        <v>0</v>
      </c>
      <c r="F28" s="5">
        <v>0</v>
      </c>
    </row>
    <row r="29" spans="1:6">
      <c r="A29" s="5">
        <v>25</v>
      </c>
      <c r="B29" s="5">
        <v>0</v>
      </c>
      <c r="C29" s="5">
        <v>0</v>
      </c>
      <c r="D29" s="5">
        <v>1</v>
      </c>
      <c r="E29" s="5">
        <v>0</v>
      </c>
      <c r="F29" s="5">
        <v>1</v>
      </c>
    </row>
    <row r="31" spans="1:6" ht="15">
      <c r="A31" s="12" t="s">
        <v>43</v>
      </c>
      <c r="B31" s="12"/>
      <c r="C31" s="12"/>
      <c r="D31" s="12"/>
      <c r="E31" s="12"/>
      <c r="F31" s="12"/>
    </row>
    <row r="32" spans="1:6" ht="30">
      <c r="A32" s="9" t="s">
        <v>44</v>
      </c>
      <c r="B32" s="9" t="s">
        <v>41</v>
      </c>
      <c r="C32" s="9" t="s">
        <v>45</v>
      </c>
      <c r="D32" s="9" t="s">
        <v>46</v>
      </c>
      <c r="E32" s="9" t="s">
        <v>47</v>
      </c>
      <c r="F32" s="9" t="s">
        <v>48</v>
      </c>
    </row>
    <row r="33" spans="1:6">
      <c r="A33" s="10"/>
      <c r="B33" s="10"/>
      <c r="C33" s="10"/>
      <c r="D33" s="10"/>
      <c r="E33" s="10"/>
      <c r="F33" s="10"/>
    </row>
    <row r="34" spans="1:6">
      <c r="A34" s="10"/>
      <c r="B34" s="10"/>
      <c r="C34" s="10"/>
      <c r="D34" s="10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</sheetData>
  <mergeCells count="3">
    <mergeCell ref="A31:F31"/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"/>
  <sheetViews>
    <sheetView workbookViewId="0">
      <selection sqref="A1:K1"/>
    </sheetView>
  </sheetViews>
  <sheetFormatPr defaultRowHeight="14.25"/>
  <cols>
    <col min="1" max="1" width="8" customWidth="1"/>
    <col min="2" max="2" width="6.5" customWidth="1"/>
    <col min="3" max="3" width="8" customWidth="1"/>
    <col min="4" max="4" width="6.625" customWidth="1"/>
    <col min="5" max="5" width="12" customWidth="1"/>
    <col min="6" max="6" width="13.5" customWidth="1"/>
    <col min="8" max="8" width="18" customWidth="1"/>
    <col min="9" max="10" width="12" customWidth="1"/>
    <col min="11" max="11" width="20" customWidth="1"/>
  </cols>
  <sheetData>
    <row r="1" spans="1:11" ht="27.95" customHeight="1">
      <c r="A1" s="16" t="s">
        <v>61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42" customHeight="1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15">
      <c r="A4" s="4" t="s">
        <v>33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H4" s="6" t="s">
        <v>39</v>
      </c>
      <c r="I4" s="6" t="s">
        <v>40</v>
      </c>
      <c r="J4" s="6" t="s">
        <v>41</v>
      </c>
      <c r="K4" s="6" t="s">
        <v>42</v>
      </c>
    </row>
    <row r="5" spans="1:11">
      <c r="A5" s="5">
        <v>1</v>
      </c>
      <c r="B5" s="5">
        <v>1</v>
      </c>
      <c r="C5" s="5">
        <v>1</v>
      </c>
      <c r="D5" s="5">
        <v>0</v>
      </c>
      <c r="E5" s="5">
        <v>0</v>
      </c>
      <c r="F5" s="5">
        <v>1</v>
      </c>
      <c r="H5" s="7" t="s">
        <v>62</v>
      </c>
      <c r="I5" s="7"/>
      <c r="J5" s="8"/>
      <c r="K5" s="7"/>
    </row>
    <row r="6" spans="1:11">
      <c r="A6" s="5">
        <v>2</v>
      </c>
      <c r="B6" s="5">
        <v>1</v>
      </c>
      <c r="C6" s="5">
        <v>1</v>
      </c>
      <c r="D6" s="5">
        <v>1</v>
      </c>
      <c r="E6" s="5">
        <v>0</v>
      </c>
      <c r="F6" s="5">
        <v>0</v>
      </c>
      <c r="H6" s="7" t="s">
        <v>63</v>
      </c>
      <c r="I6" s="7"/>
      <c r="J6" s="8"/>
      <c r="K6" s="7"/>
    </row>
    <row r="7" spans="1:11">
      <c r="A7" s="5">
        <v>3</v>
      </c>
      <c r="B7" s="5">
        <v>1</v>
      </c>
      <c r="C7" s="5">
        <v>1</v>
      </c>
      <c r="D7" s="5">
        <v>0</v>
      </c>
      <c r="E7" s="5">
        <v>0</v>
      </c>
      <c r="F7" s="5">
        <v>1</v>
      </c>
      <c r="H7" s="7" t="s">
        <v>64</v>
      </c>
      <c r="I7" s="7"/>
      <c r="J7" s="8"/>
      <c r="K7" s="7"/>
    </row>
    <row r="8" spans="1:11">
      <c r="A8" s="5">
        <v>4</v>
      </c>
      <c r="B8" s="5">
        <v>0</v>
      </c>
      <c r="C8" s="5">
        <v>0</v>
      </c>
      <c r="D8" s="5">
        <v>1</v>
      </c>
      <c r="E8" s="5">
        <v>1</v>
      </c>
      <c r="F8" s="5">
        <v>0</v>
      </c>
      <c r="H8" s="7" t="s">
        <v>65</v>
      </c>
      <c r="I8" s="7"/>
      <c r="J8" s="8"/>
      <c r="K8" s="7"/>
    </row>
    <row r="9" spans="1:11">
      <c r="A9" s="5">
        <v>5</v>
      </c>
      <c r="B9" s="5">
        <v>1</v>
      </c>
      <c r="C9" s="5">
        <v>0</v>
      </c>
      <c r="D9" s="5">
        <v>1</v>
      </c>
      <c r="E9" s="5">
        <v>0</v>
      </c>
      <c r="F9" s="5">
        <v>1</v>
      </c>
      <c r="H9" s="7" t="s">
        <v>66</v>
      </c>
      <c r="I9" s="7"/>
      <c r="J9" s="8"/>
      <c r="K9" s="7"/>
    </row>
    <row r="10" spans="1:11">
      <c r="A10" s="5">
        <v>6</v>
      </c>
      <c r="B10" s="5">
        <v>1</v>
      </c>
      <c r="C10" s="5">
        <v>1</v>
      </c>
      <c r="D10" s="5">
        <v>0</v>
      </c>
      <c r="E10" s="5">
        <v>0</v>
      </c>
      <c r="F10" s="5">
        <v>1</v>
      </c>
    </row>
    <row r="11" spans="1:11">
      <c r="A11" s="5">
        <v>7</v>
      </c>
      <c r="B11" s="5">
        <v>0</v>
      </c>
      <c r="C11" s="5">
        <v>1</v>
      </c>
      <c r="D11" s="5">
        <v>1</v>
      </c>
      <c r="E11" s="5">
        <v>0</v>
      </c>
      <c r="F11" s="5">
        <v>1</v>
      </c>
    </row>
    <row r="12" spans="1:11">
      <c r="A12" s="5">
        <v>8</v>
      </c>
      <c r="B12" s="5">
        <v>1</v>
      </c>
      <c r="C12" s="5">
        <v>1</v>
      </c>
      <c r="D12" s="5">
        <v>1</v>
      </c>
      <c r="E12" s="5">
        <v>1</v>
      </c>
      <c r="F12" s="5">
        <v>0</v>
      </c>
    </row>
    <row r="13" spans="1:11">
      <c r="A13" s="5">
        <v>9</v>
      </c>
      <c r="B13" s="5">
        <v>0</v>
      </c>
      <c r="C13" s="5">
        <v>0</v>
      </c>
      <c r="D13" s="5">
        <v>1</v>
      </c>
      <c r="E13" s="5">
        <v>1</v>
      </c>
      <c r="F13" s="5">
        <v>0</v>
      </c>
    </row>
    <row r="14" spans="1:11">
      <c r="A14" s="5">
        <v>10</v>
      </c>
      <c r="B14" s="5">
        <v>1</v>
      </c>
      <c r="C14" s="5">
        <v>1</v>
      </c>
      <c r="D14" s="5">
        <v>0</v>
      </c>
      <c r="E14" s="5">
        <v>0</v>
      </c>
      <c r="F14" s="5">
        <v>1</v>
      </c>
    </row>
    <row r="15" spans="1:11">
      <c r="A15" s="5">
        <v>11</v>
      </c>
      <c r="B15" s="5">
        <v>1</v>
      </c>
      <c r="C15" s="5">
        <v>1</v>
      </c>
      <c r="D15" s="5">
        <v>0</v>
      </c>
      <c r="E15" s="5">
        <v>1</v>
      </c>
      <c r="F15" s="5">
        <v>1</v>
      </c>
    </row>
    <row r="16" spans="1:11">
      <c r="A16" s="5">
        <v>12</v>
      </c>
      <c r="B16" s="5">
        <v>0</v>
      </c>
      <c r="C16" s="5">
        <v>0</v>
      </c>
      <c r="D16" s="5">
        <v>1</v>
      </c>
      <c r="E16" s="5">
        <v>1</v>
      </c>
      <c r="F16" s="5">
        <v>0</v>
      </c>
    </row>
    <row r="17" spans="1:6">
      <c r="A17" s="5">
        <v>13</v>
      </c>
      <c r="B17" s="5">
        <v>1</v>
      </c>
      <c r="C17" s="5">
        <v>0</v>
      </c>
      <c r="D17" s="5">
        <v>0</v>
      </c>
      <c r="E17" s="5">
        <v>0</v>
      </c>
      <c r="F17" s="5">
        <v>1</v>
      </c>
    </row>
    <row r="18" spans="1:6">
      <c r="A18" s="5">
        <v>14</v>
      </c>
      <c r="B18" s="5">
        <v>1</v>
      </c>
      <c r="C18" s="5">
        <v>1</v>
      </c>
      <c r="D18" s="5">
        <v>1</v>
      </c>
      <c r="E18" s="5">
        <v>0</v>
      </c>
      <c r="F18" s="5">
        <v>0</v>
      </c>
    </row>
    <row r="19" spans="1:6">
      <c r="A19" s="5">
        <v>15</v>
      </c>
      <c r="B19" s="5">
        <v>0</v>
      </c>
      <c r="C19" s="5">
        <v>0</v>
      </c>
      <c r="D19" s="5">
        <v>1</v>
      </c>
      <c r="E19" s="5">
        <v>1</v>
      </c>
      <c r="F19" s="5">
        <v>1</v>
      </c>
    </row>
    <row r="20" spans="1:6">
      <c r="A20" s="5">
        <v>16</v>
      </c>
      <c r="B20" s="5">
        <v>1</v>
      </c>
      <c r="C20" s="5">
        <v>1</v>
      </c>
      <c r="D20" s="5">
        <v>0</v>
      </c>
      <c r="E20" s="5">
        <v>0</v>
      </c>
      <c r="F20" s="5">
        <v>1</v>
      </c>
    </row>
    <row r="21" spans="1:6">
      <c r="A21" s="5">
        <v>17</v>
      </c>
      <c r="B21" s="5">
        <v>1</v>
      </c>
      <c r="C21" s="5">
        <v>1</v>
      </c>
      <c r="D21" s="5">
        <v>1</v>
      </c>
      <c r="E21" s="5">
        <v>1</v>
      </c>
      <c r="F21" s="5">
        <v>0</v>
      </c>
    </row>
    <row r="22" spans="1:6">
      <c r="A22" s="5">
        <v>18</v>
      </c>
      <c r="B22" s="5">
        <v>0</v>
      </c>
      <c r="C22" s="5">
        <v>0</v>
      </c>
      <c r="D22" s="5">
        <v>0</v>
      </c>
      <c r="E22" s="5">
        <v>1</v>
      </c>
      <c r="F22" s="5">
        <v>0</v>
      </c>
    </row>
    <row r="23" spans="1:6">
      <c r="A23" s="5">
        <v>19</v>
      </c>
      <c r="B23" s="5">
        <v>1</v>
      </c>
      <c r="C23" s="5">
        <v>1</v>
      </c>
      <c r="D23" s="5">
        <v>0</v>
      </c>
      <c r="E23" s="5">
        <v>0</v>
      </c>
      <c r="F23" s="5">
        <v>1</v>
      </c>
    </row>
    <row r="24" spans="1:6">
      <c r="A24" s="5">
        <v>20</v>
      </c>
      <c r="B24" s="5">
        <v>0</v>
      </c>
      <c r="C24" s="5">
        <v>1</v>
      </c>
      <c r="D24" s="5">
        <v>1</v>
      </c>
      <c r="E24" s="5">
        <v>0</v>
      </c>
      <c r="F24" s="5">
        <v>1</v>
      </c>
    </row>
    <row r="25" spans="1:6">
      <c r="A25" s="5">
        <v>21</v>
      </c>
      <c r="B25" s="5">
        <v>1</v>
      </c>
      <c r="C25" s="5">
        <v>1</v>
      </c>
      <c r="D25" s="5">
        <v>0</v>
      </c>
      <c r="E25" s="5">
        <v>0</v>
      </c>
      <c r="F25" s="5">
        <v>1</v>
      </c>
    </row>
    <row r="26" spans="1:6">
      <c r="A26" s="5">
        <v>22</v>
      </c>
      <c r="B26" s="5">
        <v>0</v>
      </c>
      <c r="C26" s="5">
        <v>0</v>
      </c>
      <c r="D26" s="5">
        <v>1</v>
      </c>
      <c r="E26" s="5">
        <v>1</v>
      </c>
      <c r="F26" s="5">
        <v>0</v>
      </c>
    </row>
    <row r="27" spans="1:6">
      <c r="A27" s="5">
        <v>23</v>
      </c>
      <c r="B27" s="5">
        <v>1</v>
      </c>
      <c r="C27" s="5">
        <v>0</v>
      </c>
      <c r="D27" s="5">
        <v>0</v>
      </c>
      <c r="E27" s="5">
        <v>0</v>
      </c>
      <c r="F27" s="5">
        <v>1</v>
      </c>
    </row>
    <row r="28" spans="1:6">
      <c r="A28" s="5">
        <v>24</v>
      </c>
      <c r="B28" s="5">
        <v>1</v>
      </c>
      <c r="C28" s="5">
        <v>1</v>
      </c>
      <c r="D28" s="5">
        <v>1</v>
      </c>
      <c r="E28" s="5">
        <v>0</v>
      </c>
      <c r="F28" s="5">
        <v>1</v>
      </c>
    </row>
    <row r="29" spans="1:6">
      <c r="A29" s="5">
        <v>25</v>
      </c>
      <c r="B29" s="5">
        <v>0</v>
      </c>
      <c r="C29" s="5">
        <v>0</v>
      </c>
      <c r="D29" s="5">
        <v>1</v>
      </c>
      <c r="E29" s="5">
        <v>1</v>
      </c>
      <c r="F29" s="5">
        <v>0</v>
      </c>
    </row>
    <row r="31" spans="1:6" ht="15">
      <c r="A31" s="12" t="s">
        <v>43</v>
      </c>
      <c r="B31" s="12"/>
      <c r="C31" s="12"/>
      <c r="D31" s="12"/>
      <c r="E31" s="12"/>
      <c r="F31" s="12"/>
    </row>
    <row r="32" spans="1:6" ht="30">
      <c r="A32" s="9" t="s">
        <v>44</v>
      </c>
      <c r="B32" s="9" t="s">
        <v>41</v>
      </c>
      <c r="C32" s="9" t="s">
        <v>45</v>
      </c>
      <c r="D32" s="9" t="s">
        <v>46</v>
      </c>
      <c r="E32" s="9" t="s">
        <v>47</v>
      </c>
      <c r="F32" s="9" t="s">
        <v>48</v>
      </c>
    </row>
    <row r="33" spans="1:6">
      <c r="A33" s="10"/>
      <c r="B33" s="10"/>
      <c r="C33" s="10"/>
      <c r="D33" s="10"/>
      <c r="E33" s="10"/>
      <c r="F33" s="10"/>
    </row>
    <row r="34" spans="1:6">
      <c r="A34" s="10"/>
      <c r="B34" s="10"/>
      <c r="C34" s="10"/>
      <c r="D34" s="10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</sheetData>
  <mergeCells count="3">
    <mergeCell ref="A31:F31"/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workbookViewId="0">
      <selection sqref="A1:K1"/>
    </sheetView>
  </sheetViews>
  <sheetFormatPr defaultRowHeight="14.25"/>
  <cols>
    <col min="1" max="2" width="8" customWidth="1"/>
    <col min="3" max="3" width="8.75" customWidth="1"/>
    <col min="4" max="4" width="8.5" customWidth="1"/>
    <col min="5" max="5" width="12" customWidth="1"/>
    <col min="6" max="6" width="13.5" customWidth="1"/>
    <col min="8" max="8" width="18" customWidth="1"/>
    <col min="9" max="10" width="12" customWidth="1"/>
    <col min="11" max="11" width="20" customWidth="1"/>
  </cols>
  <sheetData>
    <row r="1" spans="1:11" ht="27.95" customHeight="1">
      <c r="A1" s="15" t="s">
        <v>67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42" customHeight="1">
      <c r="A2" s="14" t="s">
        <v>25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15">
      <c r="A4" s="4" t="s">
        <v>33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H4" s="6" t="s">
        <v>39</v>
      </c>
      <c r="I4" s="6" t="s">
        <v>40</v>
      </c>
      <c r="J4" s="6" t="s">
        <v>41</v>
      </c>
      <c r="K4" s="6" t="s">
        <v>42</v>
      </c>
    </row>
    <row r="5" spans="1:11">
      <c r="A5" s="5">
        <v>1</v>
      </c>
      <c r="B5" s="5">
        <v>1</v>
      </c>
      <c r="C5" s="5">
        <v>0</v>
      </c>
      <c r="D5" s="5">
        <v>1</v>
      </c>
      <c r="E5" s="5">
        <v>1</v>
      </c>
      <c r="F5" s="5">
        <v>0</v>
      </c>
      <c r="H5" s="7" t="s">
        <v>68</v>
      </c>
      <c r="I5" s="7"/>
      <c r="J5" s="8"/>
      <c r="K5" s="7"/>
    </row>
    <row r="6" spans="1:11">
      <c r="A6" s="5">
        <v>2</v>
      </c>
      <c r="B6" s="5">
        <v>1</v>
      </c>
      <c r="C6" s="5">
        <v>0</v>
      </c>
      <c r="D6" s="5">
        <v>0</v>
      </c>
      <c r="E6" s="5">
        <v>1</v>
      </c>
      <c r="F6" s="5">
        <v>0</v>
      </c>
      <c r="H6" s="7" t="s">
        <v>69</v>
      </c>
      <c r="I6" s="7"/>
      <c r="J6" s="8"/>
      <c r="K6" s="7"/>
    </row>
    <row r="7" spans="1:11">
      <c r="A7" s="5">
        <v>3</v>
      </c>
      <c r="B7" s="5">
        <v>0</v>
      </c>
      <c r="C7" s="5">
        <v>1</v>
      </c>
      <c r="D7" s="5">
        <v>1</v>
      </c>
      <c r="E7" s="5">
        <v>0</v>
      </c>
      <c r="F7" s="5">
        <v>1</v>
      </c>
      <c r="H7" s="7" t="s">
        <v>70</v>
      </c>
      <c r="I7" s="7"/>
      <c r="J7" s="8"/>
      <c r="K7" s="7"/>
    </row>
    <row r="8" spans="1:11">
      <c r="A8" s="5">
        <v>4</v>
      </c>
      <c r="B8" s="5">
        <v>1</v>
      </c>
      <c r="C8" s="5">
        <v>0</v>
      </c>
      <c r="D8" s="5">
        <v>1</v>
      </c>
      <c r="E8" s="5">
        <v>1</v>
      </c>
      <c r="F8" s="5">
        <v>0</v>
      </c>
      <c r="H8" s="7" t="s">
        <v>71</v>
      </c>
      <c r="I8" s="7"/>
      <c r="J8" s="8"/>
      <c r="K8" s="7"/>
    </row>
    <row r="9" spans="1:11">
      <c r="A9" s="5">
        <v>5</v>
      </c>
      <c r="B9" s="5">
        <v>0</v>
      </c>
      <c r="C9" s="5">
        <v>1</v>
      </c>
      <c r="D9" s="5">
        <v>0</v>
      </c>
      <c r="E9" s="5">
        <v>0</v>
      </c>
      <c r="F9" s="5">
        <v>1</v>
      </c>
      <c r="H9" s="7" t="s">
        <v>72</v>
      </c>
      <c r="I9" s="7"/>
      <c r="J9" s="8"/>
      <c r="K9" s="7"/>
    </row>
    <row r="10" spans="1:11">
      <c r="A10" s="5">
        <v>6</v>
      </c>
      <c r="B10" s="5">
        <v>1</v>
      </c>
      <c r="C10" s="5">
        <v>0</v>
      </c>
      <c r="D10" s="5">
        <v>1</v>
      </c>
      <c r="E10" s="5">
        <v>1</v>
      </c>
      <c r="F10" s="5">
        <v>1</v>
      </c>
    </row>
    <row r="11" spans="1:11">
      <c r="A11" s="5">
        <v>7</v>
      </c>
      <c r="B11" s="5">
        <v>0</v>
      </c>
      <c r="C11" s="5">
        <v>1</v>
      </c>
      <c r="D11" s="5">
        <v>1</v>
      </c>
      <c r="E11" s="5">
        <v>0</v>
      </c>
      <c r="F11" s="5">
        <v>1</v>
      </c>
    </row>
    <row r="12" spans="1:11">
      <c r="A12" s="5">
        <v>8</v>
      </c>
      <c r="B12" s="5">
        <v>1</v>
      </c>
      <c r="C12" s="5">
        <v>0</v>
      </c>
      <c r="D12" s="5">
        <v>0</v>
      </c>
      <c r="E12" s="5">
        <v>1</v>
      </c>
      <c r="F12" s="5">
        <v>0</v>
      </c>
    </row>
    <row r="13" spans="1:11">
      <c r="A13" s="5">
        <v>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</row>
    <row r="14" spans="1:11">
      <c r="A14" s="5">
        <v>10</v>
      </c>
      <c r="B14" s="5">
        <v>1</v>
      </c>
      <c r="C14" s="5">
        <v>0</v>
      </c>
      <c r="D14" s="5">
        <v>1</v>
      </c>
      <c r="E14" s="5">
        <v>1</v>
      </c>
      <c r="F14" s="5">
        <v>0</v>
      </c>
    </row>
    <row r="15" spans="1:11">
      <c r="A15" s="5">
        <v>11</v>
      </c>
      <c r="B15" s="5">
        <v>0</v>
      </c>
      <c r="C15" s="5">
        <v>1</v>
      </c>
      <c r="D15" s="5">
        <v>1</v>
      </c>
      <c r="E15" s="5">
        <v>0</v>
      </c>
      <c r="F15" s="5">
        <v>1</v>
      </c>
    </row>
    <row r="16" spans="1:11">
      <c r="A16" s="5">
        <v>12</v>
      </c>
      <c r="B16" s="5">
        <v>1</v>
      </c>
      <c r="C16" s="5">
        <v>0</v>
      </c>
      <c r="D16" s="5">
        <v>0</v>
      </c>
      <c r="E16" s="5">
        <v>1</v>
      </c>
      <c r="F16" s="5">
        <v>0</v>
      </c>
    </row>
    <row r="17" spans="1:6">
      <c r="A17" s="5">
        <v>13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</row>
    <row r="18" spans="1:6">
      <c r="A18" s="5">
        <v>14</v>
      </c>
      <c r="B18" s="5">
        <v>1</v>
      </c>
      <c r="C18" s="5">
        <v>0</v>
      </c>
      <c r="D18" s="5">
        <v>1</v>
      </c>
      <c r="E18" s="5">
        <v>1</v>
      </c>
      <c r="F18" s="5">
        <v>0</v>
      </c>
    </row>
    <row r="19" spans="1:6">
      <c r="A19" s="5">
        <v>15</v>
      </c>
      <c r="B19" s="5">
        <v>0</v>
      </c>
      <c r="C19" s="5">
        <v>1</v>
      </c>
      <c r="D19" s="5">
        <v>0</v>
      </c>
      <c r="E19" s="5">
        <v>1</v>
      </c>
      <c r="F19" s="5">
        <v>1</v>
      </c>
    </row>
    <row r="20" spans="1:6">
      <c r="A20" s="5">
        <v>16</v>
      </c>
      <c r="B20" s="5">
        <v>1</v>
      </c>
      <c r="C20" s="5">
        <v>0</v>
      </c>
      <c r="D20" s="5">
        <v>1</v>
      </c>
      <c r="E20" s="5">
        <v>1</v>
      </c>
      <c r="F20" s="5">
        <v>0</v>
      </c>
    </row>
    <row r="21" spans="1:6">
      <c r="A21" s="5">
        <v>17</v>
      </c>
      <c r="B21" s="5">
        <v>0</v>
      </c>
      <c r="C21" s="5">
        <v>1</v>
      </c>
      <c r="D21" s="5">
        <v>1</v>
      </c>
      <c r="E21" s="5">
        <v>0</v>
      </c>
      <c r="F21" s="5">
        <v>1</v>
      </c>
    </row>
    <row r="22" spans="1:6">
      <c r="A22" s="5">
        <v>18</v>
      </c>
      <c r="B22" s="5">
        <v>1</v>
      </c>
      <c r="C22" s="5">
        <v>0</v>
      </c>
      <c r="D22" s="5">
        <v>0</v>
      </c>
      <c r="E22" s="5">
        <v>1</v>
      </c>
      <c r="F22" s="5">
        <v>0</v>
      </c>
    </row>
    <row r="23" spans="1:6">
      <c r="A23" s="5">
        <v>19</v>
      </c>
      <c r="B23" s="5">
        <v>0</v>
      </c>
      <c r="C23" s="5">
        <v>0</v>
      </c>
      <c r="D23" s="5">
        <v>1</v>
      </c>
      <c r="E23" s="5">
        <v>1</v>
      </c>
      <c r="F23" s="5">
        <v>0</v>
      </c>
    </row>
    <row r="24" spans="1:6">
      <c r="A24" s="5">
        <v>20</v>
      </c>
      <c r="B24" s="5">
        <v>1</v>
      </c>
      <c r="C24" s="5">
        <v>0</v>
      </c>
      <c r="D24" s="5">
        <v>1</v>
      </c>
      <c r="E24" s="5">
        <v>1</v>
      </c>
      <c r="F24" s="5">
        <v>1</v>
      </c>
    </row>
    <row r="25" spans="1:6">
      <c r="A25" s="5">
        <v>21</v>
      </c>
      <c r="B25" s="5">
        <v>0</v>
      </c>
      <c r="C25" s="5">
        <v>1</v>
      </c>
      <c r="D25" s="5">
        <v>1</v>
      </c>
      <c r="E25" s="5">
        <v>0</v>
      </c>
      <c r="F25" s="5">
        <v>1</v>
      </c>
    </row>
    <row r="26" spans="1:6">
      <c r="A26" s="5">
        <v>22</v>
      </c>
      <c r="B26" s="5">
        <v>1</v>
      </c>
      <c r="C26" s="5">
        <v>0</v>
      </c>
      <c r="D26" s="5">
        <v>0</v>
      </c>
      <c r="E26" s="5">
        <v>1</v>
      </c>
      <c r="F26" s="5">
        <v>0</v>
      </c>
    </row>
    <row r="27" spans="1:6">
      <c r="A27" s="5">
        <v>23</v>
      </c>
      <c r="B27" s="5">
        <v>0</v>
      </c>
      <c r="C27" s="5">
        <v>1</v>
      </c>
      <c r="D27" s="5">
        <v>1</v>
      </c>
      <c r="E27" s="5">
        <v>0</v>
      </c>
      <c r="F27" s="5">
        <v>1</v>
      </c>
    </row>
    <row r="28" spans="1:6">
      <c r="A28" s="5">
        <v>24</v>
      </c>
      <c r="B28" s="5">
        <v>1</v>
      </c>
      <c r="C28" s="5">
        <v>0</v>
      </c>
      <c r="D28" s="5">
        <v>1</v>
      </c>
      <c r="E28" s="5">
        <v>0</v>
      </c>
      <c r="F28" s="5">
        <v>0</v>
      </c>
    </row>
    <row r="29" spans="1:6">
      <c r="A29" s="5">
        <v>25</v>
      </c>
      <c r="B29" s="5">
        <v>0</v>
      </c>
      <c r="C29" s="5">
        <v>0</v>
      </c>
      <c r="D29" s="5">
        <v>1</v>
      </c>
      <c r="E29" s="5">
        <v>0</v>
      </c>
      <c r="F29" s="5">
        <v>0</v>
      </c>
    </row>
    <row r="31" spans="1:6" ht="15">
      <c r="A31" s="12" t="s">
        <v>43</v>
      </c>
      <c r="B31" s="12"/>
      <c r="C31" s="12"/>
      <c r="D31" s="12"/>
      <c r="E31" s="12"/>
      <c r="F31" s="12"/>
    </row>
    <row r="32" spans="1:6" ht="30">
      <c r="A32" s="9" t="s">
        <v>44</v>
      </c>
      <c r="B32" s="9" t="s">
        <v>41</v>
      </c>
      <c r="C32" s="9" t="s">
        <v>45</v>
      </c>
      <c r="D32" s="9" t="s">
        <v>46</v>
      </c>
      <c r="E32" s="9" t="s">
        <v>47</v>
      </c>
      <c r="F32" s="9" t="s">
        <v>48</v>
      </c>
    </row>
    <row r="33" spans="1:6">
      <c r="A33" s="10"/>
      <c r="B33" s="10"/>
      <c r="C33" s="10"/>
      <c r="D33" s="10"/>
      <c r="E33" s="10"/>
      <c r="F33" s="10"/>
    </row>
    <row r="34" spans="1:6">
      <c r="A34" s="10"/>
      <c r="B34" s="10"/>
      <c r="C34" s="10"/>
      <c r="D34" s="10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</sheetData>
  <mergeCells count="3">
    <mergeCell ref="A31:F31"/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workbookViewId="0">
      <selection activeCell="H13" sqref="H13"/>
    </sheetView>
  </sheetViews>
  <sheetFormatPr defaultRowHeight="14.25"/>
  <cols>
    <col min="1" max="1" width="8" customWidth="1"/>
    <col min="2" max="2" width="6.5" customWidth="1"/>
    <col min="3" max="3" width="8.125" customWidth="1"/>
    <col min="4" max="4" width="3.125" customWidth="1"/>
    <col min="5" max="5" width="12" customWidth="1"/>
    <col min="6" max="6" width="13.5" customWidth="1"/>
    <col min="8" max="8" width="18" customWidth="1"/>
    <col min="9" max="10" width="12" customWidth="1"/>
    <col min="11" max="11" width="20" customWidth="1"/>
  </cols>
  <sheetData>
    <row r="1" spans="1:11" ht="27.95" customHeight="1">
      <c r="A1" s="13" t="s">
        <v>73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9.25" customHeight="1">
      <c r="A2" s="14" t="s">
        <v>29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15">
      <c r="A4" s="4" t="s">
        <v>33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H4" s="6" t="s">
        <v>39</v>
      </c>
      <c r="I4" s="6" t="s">
        <v>40</v>
      </c>
      <c r="J4" s="6" t="s">
        <v>41</v>
      </c>
      <c r="K4" s="6" t="s">
        <v>42</v>
      </c>
    </row>
    <row r="5" spans="1:11">
      <c r="A5" s="5">
        <v>1</v>
      </c>
      <c r="B5" s="5">
        <v>1</v>
      </c>
      <c r="C5" s="5">
        <v>1</v>
      </c>
      <c r="D5" s="5">
        <v>1</v>
      </c>
      <c r="E5" s="5">
        <v>0</v>
      </c>
      <c r="F5" s="5">
        <v>0</v>
      </c>
      <c r="H5" s="7" t="s">
        <v>74</v>
      </c>
      <c r="I5" s="7"/>
      <c r="J5" s="8"/>
      <c r="K5" s="7"/>
    </row>
    <row r="6" spans="1:11">
      <c r="A6" s="5">
        <v>2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H6" s="7" t="s">
        <v>75</v>
      </c>
      <c r="I6" s="7"/>
      <c r="J6" s="8"/>
      <c r="K6" s="7"/>
    </row>
    <row r="7" spans="1:11">
      <c r="A7" s="5">
        <v>3</v>
      </c>
      <c r="B7" s="5">
        <v>0</v>
      </c>
      <c r="C7" s="5">
        <v>0</v>
      </c>
      <c r="D7" s="5">
        <v>1</v>
      </c>
      <c r="E7" s="5">
        <v>1</v>
      </c>
      <c r="F7" s="5">
        <v>1</v>
      </c>
      <c r="H7" s="7" t="s">
        <v>76</v>
      </c>
      <c r="I7" s="7"/>
      <c r="J7" s="8"/>
      <c r="K7" s="7"/>
    </row>
    <row r="8" spans="1:11">
      <c r="A8" s="5">
        <v>4</v>
      </c>
      <c r="B8" s="5">
        <v>1</v>
      </c>
      <c r="C8" s="5">
        <v>1</v>
      </c>
      <c r="D8" s="5">
        <v>0</v>
      </c>
      <c r="E8" s="5">
        <v>0</v>
      </c>
      <c r="F8" s="5">
        <v>1</v>
      </c>
      <c r="H8" s="7" t="s">
        <v>77</v>
      </c>
      <c r="I8" s="7"/>
      <c r="J8" s="8"/>
      <c r="K8" s="7"/>
    </row>
    <row r="9" spans="1:11">
      <c r="A9" s="5">
        <v>5</v>
      </c>
      <c r="B9" s="5">
        <v>0</v>
      </c>
      <c r="C9" s="5">
        <v>0</v>
      </c>
      <c r="D9" s="5">
        <v>0</v>
      </c>
      <c r="E9" s="5">
        <v>1</v>
      </c>
      <c r="F9" s="5">
        <v>1</v>
      </c>
      <c r="H9" s="7" t="s">
        <v>78</v>
      </c>
      <c r="I9" s="7"/>
      <c r="J9" s="8"/>
      <c r="K9" s="7"/>
    </row>
    <row r="10" spans="1:11">
      <c r="A10" s="5">
        <v>6</v>
      </c>
      <c r="B10" s="5">
        <v>1</v>
      </c>
      <c r="C10" s="5">
        <v>1</v>
      </c>
      <c r="D10" s="5">
        <v>1</v>
      </c>
      <c r="E10" s="5">
        <v>0</v>
      </c>
      <c r="F10" s="5">
        <v>0</v>
      </c>
    </row>
    <row r="11" spans="1:11">
      <c r="A11" s="5">
        <v>7</v>
      </c>
      <c r="B11" s="5">
        <v>0</v>
      </c>
      <c r="C11" s="5">
        <v>1</v>
      </c>
      <c r="D11" s="5">
        <v>0</v>
      </c>
      <c r="E11" s="5">
        <v>0</v>
      </c>
      <c r="F11" s="5">
        <v>1</v>
      </c>
    </row>
    <row r="12" spans="1:11">
      <c r="A12" s="5">
        <v>8</v>
      </c>
      <c r="B12" s="5">
        <v>1</v>
      </c>
      <c r="C12" s="5">
        <v>1</v>
      </c>
      <c r="D12" s="5">
        <v>1</v>
      </c>
      <c r="E12" s="5">
        <v>1</v>
      </c>
      <c r="F12" s="5">
        <v>0</v>
      </c>
    </row>
    <row r="13" spans="1:11">
      <c r="A13" s="5">
        <v>9</v>
      </c>
      <c r="B13" s="5">
        <v>0</v>
      </c>
      <c r="C13" s="5">
        <v>0</v>
      </c>
      <c r="D13" s="5">
        <v>1</v>
      </c>
      <c r="E13" s="5">
        <v>1</v>
      </c>
      <c r="F13" s="5">
        <v>1</v>
      </c>
    </row>
    <row r="14" spans="1:11">
      <c r="A14" s="5">
        <v>10</v>
      </c>
      <c r="B14" s="5">
        <v>1</v>
      </c>
      <c r="C14" s="5">
        <v>1</v>
      </c>
      <c r="D14" s="5">
        <v>1</v>
      </c>
      <c r="E14" s="5">
        <v>0</v>
      </c>
      <c r="F14" s="5">
        <v>0</v>
      </c>
    </row>
    <row r="15" spans="1:11">
      <c r="A15" s="5">
        <v>11</v>
      </c>
      <c r="B15" s="5">
        <v>0</v>
      </c>
      <c r="C15" s="5">
        <v>0</v>
      </c>
      <c r="D15" s="5">
        <v>0</v>
      </c>
      <c r="E15" s="5">
        <v>1</v>
      </c>
      <c r="F15" s="5">
        <v>1</v>
      </c>
    </row>
    <row r="16" spans="1:11">
      <c r="A16" s="5">
        <v>12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</row>
    <row r="17" spans="1:6">
      <c r="A17" s="5">
        <v>13</v>
      </c>
      <c r="B17" s="5">
        <v>0</v>
      </c>
      <c r="C17" s="5">
        <v>0</v>
      </c>
      <c r="D17" s="5">
        <v>1</v>
      </c>
      <c r="E17" s="5">
        <v>1</v>
      </c>
      <c r="F17" s="5">
        <v>0</v>
      </c>
    </row>
    <row r="18" spans="1:6">
      <c r="A18" s="5">
        <v>14</v>
      </c>
      <c r="B18" s="5">
        <v>1</v>
      </c>
      <c r="C18" s="5">
        <v>1</v>
      </c>
      <c r="D18" s="5">
        <v>1</v>
      </c>
      <c r="E18" s="5">
        <v>0</v>
      </c>
      <c r="F18" s="5">
        <v>0</v>
      </c>
    </row>
    <row r="19" spans="1:6">
      <c r="A19" s="5">
        <v>15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</row>
    <row r="20" spans="1:6">
      <c r="A20" s="5">
        <v>16</v>
      </c>
      <c r="B20" s="5">
        <v>1</v>
      </c>
      <c r="C20" s="5">
        <v>1</v>
      </c>
      <c r="D20" s="5">
        <v>1</v>
      </c>
      <c r="E20" s="5">
        <v>1</v>
      </c>
      <c r="F20" s="5">
        <v>0</v>
      </c>
    </row>
    <row r="21" spans="1:6">
      <c r="A21" s="5">
        <v>17</v>
      </c>
      <c r="B21" s="5">
        <v>1</v>
      </c>
      <c r="C21" s="5">
        <v>0</v>
      </c>
      <c r="D21" s="5">
        <v>1</v>
      </c>
      <c r="E21" s="5">
        <v>0</v>
      </c>
      <c r="F21" s="5">
        <v>1</v>
      </c>
    </row>
    <row r="22" spans="1:6">
      <c r="A22" s="5">
        <v>18</v>
      </c>
      <c r="B22" s="5">
        <v>0</v>
      </c>
      <c r="C22" s="5">
        <v>0</v>
      </c>
      <c r="D22" s="5">
        <v>1</v>
      </c>
      <c r="E22" s="5">
        <v>1</v>
      </c>
      <c r="F22" s="5">
        <v>1</v>
      </c>
    </row>
    <row r="23" spans="1:6">
      <c r="A23" s="5">
        <v>19</v>
      </c>
      <c r="B23" s="5">
        <v>1</v>
      </c>
      <c r="C23" s="5">
        <v>1</v>
      </c>
      <c r="D23" s="5">
        <v>0</v>
      </c>
      <c r="E23" s="5">
        <v>0</v>
      </c>
      <c r="F23" s="5">
        <v>0</v>
      </c>
    </row>
    <row r="24" spans="1:6">
      <c r="A24" s="5">
        <v>20</v>
      </c>
      <c r="B24" s="5">
        <v>0</v>
      </c>
      <c r="C24" s="5">
        <v>0</v>
      </c>
      <c r="D24" s="5">
        <v>0</v>
      </c>
      <c r="E24" s="5">
        <v>1</v>
      </c>
      <c r="F24" s="5">
        <v>1</v>
      </c>
    </row>
    <row r="25" spans="1:6">
      <c r="A25" s="5">
        <v>21</v>
      </c>
      <c r="B25" s="5">
        <v>1</v>
      </c>
      <c r="C25" s="5">
        <v>1</v>
      </c>
      <c r="D25" s="5">
        <v>1</v>
      </c>
      <c r="E25" s="5">
        <v>0</v>
      </c>
      <c r="F25" s="5">
        <v>0</v>
      </c>
    </row>
    <row r="26" spans="1:6">
      <c r="A26" s="5">
        <v>22</v>
      </c>
      <c r="B26" s="5">
        <v>0</v>
      </c>
      <c r="C26" s="5">
        <v>1</v>
      </c>
      <c r="D26" s="5">
        <v>0</v>
      </c>
      <c r="E26" s="5">
        <v>0</v>
      </c>
      <c r="F26" s="5">
        <v>1</v>
      </c>
    </row>
    <row r="27" spans="1:6">
      <c r="A27" s="5">
        <v>23</v>
      </c>
      <c r="B27" s="5">
        <v>1</v>
      </c>
      <c r="C27" s="5">
        <v>1</v>
      </c>
      <c r="D27" s="5">
        <v>1</v>
      </c>
      <c r="E27" s="5">
        <v>1</v>
      </c>
      <c r="F27" s="5">
        <v>0</v>
      </c>
    </row>
    <row r="28" spans="1:6">
      <c r="A28" s="5">
        <v>24</v>
      </c>
      <c r="B28" s="5">
        <v>0</v>
      </c>
      <c r="C28" s="5">
        <v>0</v>
      </c>
      <c r="D28" s="5">
        <v>1</v>
      </c>
      <c r="E28" s="5">
        <v>1</v>
      </c>
      <c r="F28" s="5">
        <v>1</v>
      </c>
    </row>
    <row r="29" spans="1:6">
      <c r="A29" s="5">
        <v>25</v>
      </c>
      <c r="B29" s="5">
        <v>1</v>
      </c>
      <c r="C29" s="5">
        <v>1</v>
      </c>
      <c r="D29" s="5">
        <v>1</v>
      </c>
      <c r="E29" s="5">
        <v>0</v>
      </c>
      <c r="F29" s="5">
        <v>1</v>
      </c>
    </row>
    <row r="31" spans="1:6" ht="15">
      <c r="A31" s="12" t="s">
        <v>43</v>
      </c>
      <c r="B31" s="12"/>
      <c r="C31" s="12"/>
      <c r="D31" s="12"/>
      <c r="E31" s="12"/>
      <c r="F31" s="12"/>
    </row>
    <row r="32" spans="1:6" ht="30">
      <c r="A32" s="9" t="s">
        <v>44</v>
      </c>
      <c r="B32" s="9" t="s">
        <v>41</v>
      </c>
      <c r="C32" s="9" t="s">
        <v>45</v>
      </c>
      <c r="D32" s="9" t="s">
        <v>46</v>
      </c>
      <c r="E32" s="9" t="s">
        <v>47</v>
      </c>
      <c r="F32" s="9" t="s">
        <v>48</v>
      </c>
    </row>
    <row r="33" spans="1:6">
      <c r="A33" s="10"/>
      <c r="B33" s="10"/>
      <c r="C33" s="10"/>
      <c r="D33" s="10"/>
      <c r="E33" s="10"/>
      <c r="F33" s="10"/>
    </row>
    <row r="34" spans="1:6">
      <c r="A34" s="10"/>
      <c r="B34" s="10"/>
      <c r="C34" s="10"/>
      <c r="D34" s="10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</sheetData>
  <mergeCells count="3">
    <mergeCell ref="A31:F31"/>
    <mergeCell ref="A2:K2"/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EXEMPLO1</vt:lpstr>
      <vt:lpstr>EXEMPLO2</vt:lpstr>
      <vt:lpstr>Instruções</vt:lpstr>
      <vt:lpstr>01_Cafeteria</vt:lpstr>
      <vt:lpstr>02_Streaming</vt:lpstr>
      <vt:lpstr>03_Farmacia</vt:lpstr>
      <vt:lpstr>04_Gamer</vt:lpstr>
      <vt:lpstr>05_PetShop</vt:lpstr>
      <vt:lpstr>06_Biblioteca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</dc:creator>
  <cp:lastModifiedBy>Denise Tsunoda</cp:lastModifiedBy>
  <dcterms:created xsi:type="dcterms:W3CDTF">2026-05-19T22:02:47Z</dcterms:created>
  <dcterms:modified xsi:type="dcterms:W3CDTF">2026-05-19T22:02:47Z</dcterms:modified>
</cp:coreProperties>
</file>