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Users\Denny\Desktop\Especialização IAGA\AULAS\Agrupamento\"/>
    </mc:Choice>
  </mc:AlternateContent>
  <xr:revisionPtr revIDLastSave="0" documentId="13_ncr:1_{18AB4649-3D02-411A-9E92-CAD71437CB28}" xr6:coauthVersionLast="47" xr6:coauthVersionMax="47" xr10:uidLastSave="{00000000-0000-0000-0000-000000000000}"/>
  <bookViews>
    <workbookView xWindow="-93" yWindow="-93" windowWidth="25786" windowHeight="13866" activeTab="1" xr2:uid="{3B5A7B57-E06E-4B36-8BE2-3464BCA1EF90}"/>
  </bookViews>
  <sheets>
    <sheet name="Exemplo1" sheetId="1" r:id="rId1"/>
    <sheet name="Exemplo2" sheetId="9" r:id="rId2"/>
    <sheet name="Varejo" sheetId="2" r:id="rId3"/>
    <sheet name="Indústria" sheetId="4" r:id="rId4"/>
    <sheet name="Imóveis" sheetId="5" r:id="rId5"/>
    <sheet name="Esporte" sheetId="6" r:id="rId6"/>
    <sheet name="Risco" sheetId="7" r:id="rId7"/>
    <sheet name="UX" sheetId="8" r:id="rId8"/>
  </sheets>
  <externalReferences>
    <externalReference r:id="rId9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17" i="1" l="1"/>
  <c r="F17" i="1"/>
  <c r="G16" i="1"/>
  <c r="F16" i="1"/>
  <c r="C12" i="1"/>
  <c r="C13" i="1"/>
  <c r="C14" i="1"/>
  <c r="C16" i="1"/>
  <c r="C17" i="1"/>
  <c r="C18" i="1"/>
  <c r="C19" i="1"/>
  <c r="C11" i="1"/>
  <c r="B17" i="1"/>
  <c r="B18" i="1"/>
  <c r="B19" i="1"/>
  <c r="B16" i="1"/>
  <c r="B12" i="1"/>
  <c r="B13" i="1"/>
  <c r="B14" i="1"/>
  <c r="B11" i="1"/>
  <c r="G52" i="9"/>
  <c r="F52" i="9"/>
  <c r="G51" i="9"/>
  <c r="F51" i="9"/>
  <c r="G36" i="9"/>
  <c r="F41" i="9" s="1"/>
  <c r="F36" i="9"/>
  <c r="E41" i="9" s="1"/>
  <c r="C36" i="9"/>
  <c r="G35" i="9"/>
  <c r="F40" i="9" s="1"/>
  <c r="F35" i="9"/>
  <c r="E40" i="9" s="1"/>
  <c r="C35" i="9"/>
  <c r="C34" i="9"/>
  <c r="C33" i="9"/>
  <c r="C32" i="9"/>
  <c r="C31" i="9"/>
  <c r="C30" i="9"/>
  <c r="C29" i="9"/>
  <c r="C55" i="9" l="1"/>
  <c r="C51" i="9"/>
  <c r="C50" i="9"/>
  <c r="C54" i="9"/>
  <c r="C53" i="9"/>
  <c r="C52" i="9"/>
  <c r="C48" i="9"/>
  <c r="C45" i="9"/>
  <c r="C47" i="9"/>
  <c r="C49" i="9"/>
  <c r="C44" i="9"/>
  <c r="C46" i="9"/>
</calcChain>
</file>

<file path=xl/sharedStrings.xml><?xml version="1.0" encoding="utf-8"?>
<sst xmlns="http://schemas.openxmlformats.org/spreadsheetml/2006/main" count="196" uniqueCount="114">
  <si>
    <t>Ponto A: X=1, Y=1</t>
  </si>
  <si>
    <t>Ponto B: X=2, Y=1</t>
  </si>
  <si>
    <t>Ponto C: X=1, Y=2</t>
  </si>
  <si>
    <t>Ponto D: X=5, Y=4</t>
  </si>
  <si>
    <t>Ponto E: X=5, Y=5</t>
  </si>
  <si>
    <t>Ponto F: X=6, Y=5</t>
  </si>
  <si>
    <t>X</t>
  </si>
  <si>
    <t>Y</t>
  </si>
  <si>
    <t>ID</t>
  </si>
  <si>
    <t>A</t>
  </si>
  <si>
    <t>B</t>
  </si>
  <si>
    <t>C</t>
  </si>
  <si>
    <t>D</t>
  </si>
  <si>
    <t>E</t>
  </si>
  <si>
    <t>F</t>
  </si>
  <si>
    <t>Gasto (X)</t>
  </si>
  <si>
    <t>Frequência (Y)</t>
  </si>
  <si>
    <t>Cliente A</t>
  </si>
  <si>
    <t>Cliente B</t>
  </si>
  <si>
    <t>Cliente C</t>
  </si>
  <si>
    <t>Cliente D</t>
  </si>
  <si>
    <t>Cliente E</t>
  </si>
  <si>
    <t>Cliente F</t>
  </si>
  <si>
    <t>Cliente G</t>
  </si>
  <si>
    <t>Cliente H</t>
  </si>
  <si>
    <t>Segmentação de Clientes (Varejo)</t>
  </si>
  <si>
    <t>Aba 1: Segmentação de Clientes (Varejo)
Cenário: O grupo deve identificar perfis de consumo baseados no valor gasto e na frequência de visitas.
X: Gasto Médio Mensal (R$)
Y: Frequência (visitas/mês)
Dica pedagógica: As escalas são muito diferentes (0-500 vs 0-10). Ótimo para discutir Normalização.</t>
  </si>
  <si>
    <t>Aba 2: Diagnóstico de Manutenção (Indústria)
Cenário: Identificar máquinas que precisam de manutenção preventiva com base em temperatura e vibração.
X: Temperatura (°C)
Y: Nível de Vibração (0-100)</t>
  </si>
  <si>
    <t>Diagnóstico de Manutenção (Indústria)</t>
  </si>
  <si>
    <t>Temp (X)</t>
  </si>
  <si>
    <t>Vibração (Y)</t>
  </si>
  <si>
    <t>M1</t>
  </si>
  <si>
    <t>M2</t>
  </si>
  <si>
    <t>M3</t>
  </si>
  <si>
    <t>M4</t>
  </si>
  <si>
    <t>M5</t>
  </si>
  <si>
    <t>M6</t>
  </si>
  <si>
    <t>M7</t>
  </si>
  <si>
    <t>M8</t>
  </si>
  <si>
    <t>Aba 3: Avaliação de Imóveis (Real Estate)
Cenário: Agrupar imóveis para definir preços de mercado baseados em área e padrão de acabamento.
X: Área (m²)
Y: Nota de Acabamento (1-10)</t>
  </si>
  <si>
    <t>Avaliação de Imóveis (Real Estate)</t>
  </si>
  <si>
    <t>Área (X)</t>
  </si>
  <si>
    <t>Acabamento (Y)</t>
  </si>
  <si>
    <t>Casa 1</t>
  </si>
  <si>
    <t>Casa 2</t>
  </si>
  <si>
    <t>Casa 3</t>
  </si>
  <si>
    <t>Casa 4</t>
  </si>
  <si>
    <t>Casa 5</t>
  </si>
  <si>
    <t>Casa 6</t>
  </si>
  <si>
    <t>Casa 7</t>
  </si>
  <si>
    <t>Casa 8</t>
  </si>
  <si>
    <t>Aba 4: Performance de Atletas (Esporte)
Cenário: Clube quer dividir jogadores em "Explosão" vs "Resistência".
X: Velocidade Máxima (km/h)
Y: Distância percorrida por jogo (km)</t>
  </si>
  <si>
    <t>Performance de Atletas (Esporte)</t>
  </si>
  <si>
    <t>Velocidade (X)</t>
  </si>
  <si>
    <t>Distância (Y)</t>
  </si>
  <si>
    <t>Jogador A</t>
  </si>
  <si>
    <t>Jogador B</t>
  </si>
  <si>
    <t>Jogador C</t>
  </si>
  <si>
    <t>Jogador D</t>
  </si>
  <si>
    <t>Jogador E</t>
  </si>
  <si>
    <t>Jogador F</t>
  </si>
  <si>
    <t>Jogador G</t>
  </si>
  <si>
    <t>Jogador H</t>
  </si>
  <si>
    <t>Aba 5: Crédito Bancário (Risco)
Cenário: Agrupar solicitantes de empréstimo por renda e histórico de dívida.
X: Renda Anual (mil R$)
Y: Dívida Atual (mil R$)</t>
  </si>
  <si>
    <t>Crédito Bancário (Risco)</t>
  </si>
  <si>
    <t>Renda (X)</t>
  </si>
  <si>
    <t>Dívida (Y)</t>
  </si>
  <si>
    <t>P1</t>
  </si>
  <si>
    <t>P2</t>
  </si>
  <si>
    <t>P3</t>
  </si>
  <si>
    <t>P4</t>
  </si>
  <si>
    <t>P5</t>
  </si>
  <si>
    <t>P6</t>
  </si>
  <si>
    <t>P7</t>
  </si>
  <si>
    <t>P8</t>
  </si>
  <si>
    <t>Uso de Aplicativo (UX)</t>
  </si>
  <si>
    <t>Tempo (X)</t>
  </si>
  <si>
    <t>Cliques (Y)</t>
  </si>
  <si>
    <t>User 1</t>
  </si>
  <si>
    <t>User 2</t>
  </si>
  <si>
    <t>User 3</t>
  </si>
  <si>
    <t>User 4</t>
  </si>
  <si>
    <t>User 5</t>
  </si>
  <si>
    <t>User 6</t>
  </si>
  <si>
    <t>User 7</t>
  </si>
  <si>
    <t>User 8</t>
  </si>
  <si>
    <t>Aba 6: Uso de Aplicativo (Engajamento)
Cenário: Usuários casuais vs. geradores de receita vs. orgânicos.
X: Tempo de Tela (min/dia) | Y: Cliques em Anúncios
K sugerido: 3
Centróides Iniciais: C1 (10, 1) | C2 (125, 18) | C3 (145, 2)</t>
  </si>
  <si>
    <t>Pontos</t>
  </si>
  <si>
    <t>Agrupamento – K-Means</t>
  </si>
  <si>
    <t>Algoritmo:</t>
  </si>
  <si>
    <r>
      <t>•</t>
    </r>
    <r>
      <rPr>
        <sz val="7"/>
        <color theme="1"/>
        <rFont val="Times New Roman"/>
        <family val="1"/>
      </rPr>
      <t xml:space="preserve">      </t>
    </r>
    <r>
      <rPr>
        <u/>
        <sz val="12"/>
        <color theme="1"/>
        <rFont val="Arial"/>
        <family val="2"/>
      </rPr>
      <t>Passo 1</t>
    </r>
    <r>
      <rPr>
        <sz val="12"/>
        <color theme="1"/>
        <rFont val="Arial"/>
        <family val="2"/>
      </rPr>
      <t xml:space="preserve">: Os primeiros </t>
    </r>
    <r>
      <rPr>
        <i/>
        <sz val="12"/>
        <color theme="1"/>
        <rFont val="Arial"/>
        <family val="2"/>
      </rPr>
      <t xml:space="preserve">k </t>
    </r>
    <r>
      <rPr>
        <sz val="12"/>
        <color theme="1"/>
        <rFont val="Arial"/>
        <family val="2"/>
      </rPr>
      <t>centros dos aglomerados / agrupamentos são escolhidos aleatoriamente</t>
    </r>
  </si>
  <si>
    <r>
      <t>•</t>
    </r>
    <r>
      <rPr>
        <sz val="7"/>
        <color theme="1"/>
        <rFont val="Times New Roman"/>
        <family val="1"/>
      </rPr>
      <t xml:space="preserve">      </t>
    </r>
    <r>
      <rPr>
        <u/>
        <sz val="12"/>
        <color theme="1"/>
        <rFont val="Arial"/>
        <family val="2"/>
      </rPr>
      <t>Passo 2</t>
    </r>
    <r>
      <rPr>
        <sz val="12"/>
        <color theme="1"/>
        <rFont val="Arial"/>
        <family val="2"/>
      </rPr>
      <t>: Cada objeto  é atribuído ao grupo associado com o centro mais próximo (rotulação)</t>
    </r>
  </si>
  <si>
    <r>
      <t>•</t>
    </r>
    <r>
      <rPr>
        <sz val="7"/>
        <color theme="1"/>
        <rFont val="Times New Roman"/>
        <family val="1"/>
      </rPr>
      <t xml:space="preserve">      </t>
    </r>
    <r>
      <rPr>
        <u/>
        <sz val="12"/>
        <color theme="1"/>
        <rFont val="Arial"/>
        <family val="2"/>
      </rPr>
      <t>Passo 3</t>
    </r>
    <r>
      <rPr>
        <sz val="12"/>
        <color theme="1"/>
        <rFont val="Arial"/>
        <family val="2"/>
      </rPr>
      <t>: Calcule um novo centro para cada grupo (média dos valores de todos os objetos - centróide)</t>
    </r>
  </si>
  <si>
    <r>
      <t>•</t>
    </r>
    <r>
      <rPr>
        <sz val="7"/>
        <color theme="1"/>
        <rFont val="Times New Roman"/>
        <family val="1"/>
      </rPr>
      <t xml:space="preserve">      </t>
    </r>
    <r>
      <rPr>
        <u/>
        <sz val="12"/>
        <color theme="1"/>
        <rFont val="Arial"/>
        <family val="2"/>
      </rPr>
      <t>Passo 4</t>
    </r>
    <r>
      <rPr>
        <sz val="12"/>
        <color theme="1"/>
        <rFont val="Arial"/>
        <family val="2"/>
      </rPr>
      <t>: Repita Passo2 (com os novos centros) e Passo3 até que não haja mudança nos centros (ou outro critério de parada seja atingido)</t>
    </r>
  </si>
  <si>
    <t>EXEMPLO: Centróides iniciais: A e F. Realizar duas iterações completas utilizando distância euclidiana</t>
  </si>
  <si>
    <t>Distância euclidiana</t>
  </si>
  <si>
    <t>Passo 1: A e F</t>
  </si>
  <si>
    <t>Passo 2: Primeira Iteração</t>
  </si>
  <si>
    <t>G1</t>
  </si>
  <si>
    <t>G2</t>
  </si>
  <si>
    <t>Distância</t>
  </si>
  <si>
    <t>Passo 3: Atualizando os centróides:</t>
  </si>
  <si>
    <t>Passo 2: Segunda Iteração</t>
  </si>
  <si>
    <t>BA</t>
  </si>
  <si>
    <t>CA</t>
  </si>
  <si>
    <t>EA</t>
  </si>
  <si>
    <t>EUCLIDIANA QUADRÁTICA</t>
  </si>
  <si>
    <t>BF</t>
  </si>
  <si>
    <t>CF</t>
  </si>
  <si>
    <t>DA</t>
  </si>
  <si>
    <t>DF</t>
  </si>
  <si>
    <t>EF</t>
  </si>
  <si>
    <t>Centróide G1</t>
  </si>
  <si>
    <t>Centróide G2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</si>
</sst>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24"/>
      <color rgb="FF333333"/>
      <name val="Calibri"/>
      <family val="2"/>
    </font>
    <font>
      <sz val="18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sz val="11"/>
      <color rgb="FF00B050"/>
      <name val="Aptos Narrow"/>
      <family val="2"/>
      <scheme val="minor"/>
    </font>
    <font>
      <b/>
      <sz val="24"/>
      <color rgb="FFFFFFFF"/>
      <name val="Calibri"/>
      <family val="2"/>
    </font>
    <font>
      <sz val="24"/>
      <color rgb="FF000000"/>
      <name val="Calibri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sz val="12"/>
      <color theme="1"/>
      <name val="Tahoma"/>
      <family val="2"/>
    </font>
    <font>
      <sz val="7"/>
      <color theme="1"/>
      <name val="Times New Roman"/>
      <family val="1"/>
    </font>
    <font>
      <u/>
      <sz val="12"/>
      <color theme="1"/>
      <name val="Arial"/>
      <family val="2"/>
    </font>
    <font>
      <i/>
      <sz val="12"/>
      <color theme="1"/>
      <name val="Arial"/>
      <family val="2"/>
    </font>
    <font>
      <sz val="12"/>
      <color theme="1"/>
      <name val="Times New Roman"/>
      <family val="1"/>
    </font>
    <font>
      <b/>
      <sz val="18"/>
      <color rgb="FFFF0000"/>
      <name val="Aptos Narrow"/>
      <family val="2"/>
      <scheme val="minor"/>
    </font>
    <font>
      <b/>
      <sz val="18"/>
      <color rgb="FF00B0F0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b/>
      <sz val="16"/>
      <color theme="1"/>
      <name val="Arial"/>
      <family val="2"/>
    </font>
    <font>
      <sz val="14"/>
      <color rgb="FFFF0000"/>
      <name val="Aptos Narrow"/>
      <family val="2"/>
      <scheme val="minor"/>
    </font>
    <font>
      <sz val="18"/>
      <color rgb="FFFF0000"/>
      <name val="Aptos Narrow"/>
      <family val="2"/>
      <scheme val="minor"/>
    </font>
    <font>
      <sz val="16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rgb="FFC0504D"/>
        <bgColor indexed="64"/>
      </patternFill>
    </fill>
    <fill>
      <patternFill patternType="solid">
        <fgColor rgb="FFF4E9E9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FFFFFF"/>
      </left>
      <right style="medium">
        <color rgb="FFFFFFFF"/>
      </right>
      <top style="thick">
        <color rgb="FFFFFFFF"/>
      </top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rgb="FFFFFFFF"/>
      </right>
      <top style="thick">
        <color rgb="FFFFFFFF"/>
      </top>
      <bottom style="medium">
        <color rgb="FFFFFFFF"/>
      </bottom>
      <diagonal/>
    </border>
    <border>
      <left/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medium">
        <color rgb="FFFFFFFF"/>
      </left>
      <right/>
      <top style="thick">
        <color rgb="FFFFFFFF"/>
      </top>
      <bottom style="medium">
        <color rgb="FFFFFFFF"/>
      </bottom>
      <diagonal/>
    </border>
    <border>
      <left style="medium">
        <color rgb="FFFFFFFF"/>
      </left>
      <right/>
      <top style="medium">
        <color rgb="FFFFFFFF"/>
      </top>
      <bottom style="medium">
        <color rgb="FFFFFFFF"/>
      </bottom>
      <diagonal/>
    </border>
    <border>
      <left/>
      <right style="medium">
        <color rgb="FFFFFFFF"/>
      </right>
      <top/>
      <bottom style="thick">
        <color rgb="FFFFFFFF"/>
      </bottom>
      <diagonal/>
    </border>
    <border>
      <left style="medium">
        <color rgb="FFFFFFFF"/>
      </left>
      <right style="medium">
        <color rgb="FFFFFFFF"/>
      </right>
      <top/>
      <bottom style="thick">
        <color rgb="FFFFFFFF"/>
      </bottom>
      <diagonal/>
    </border>
    <border>
      <left style="medium">
        <color rgb="FFFFFFFF"/>
      </left>
      <right/>
      <top/>
      <bottom style="thick">
        <color rgb="FFFFFFFF"/>
      </bottom>
      <diagonal/>
    </border>
    <border>
      <left/>
      <right style="medium">
        <color rgb="FFFFFFFF"/>
      </right>
      <top style="medium">
        <color rgb="FFFFFFFF"/>
      </top>
      <bottom/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/>
      <diagonal/>
    </border>
    <border>
      <left style="medium">
        <color rgb="FFFFFFFF"/>
      </left>
      <right/>
      <top style="medium">
        <color rgb="FFFFFFFF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8">
    <xf numFmtId="0" fontId="0" fillId="0" borderId="0" xfId="0"/>
    <xf numFmtId="0" fontId="2" fillId="0" borderId="0" xfId="0" applyFont="1" applyAlignment="1">
      <alignment horizontal="left" vertical="center" readingOrder="1"/>
    </xf>
    <xf numFmtId="0" fontId="3" fillId="0" borderId="1" xfId="0" applyFont="1" applyBorder="1" applyAlignment="1">
      <alignment horizont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3" borderId="0" xfId="0" applyFill="1" applyAlignment="1">
      <alignment vertical="center" wrapText="1"/>
    </xf>
    <xf numFmtId="0" fontId="1" fillId="0" borderId="0" xfId="0" applyFont="1"/>
    <xf numFmtId="0" fontId="7" fillId="5" borderId="2" xfId="0" applyFont="1" applyFill="1" applyBorder="1" applyAlignment="1">
      <alignment horizontal="center" vertical="center" wrapText="1" readingOrder="1"/>
    </xf>
    <xf numFmtId="0" fontId="7" fillId="5" borderId="3" xfId="0" applyFont="1" applyFill="1" applyBorder="1" applyAlignment="1">
      <alignment horizontal="center" vertical="center" wrapText="1" readingOrder="1"/>
    </xf>
    <xf numFmtId="0" fontId="4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8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10" fillId="0" borderId="0" xfId="0" applyFont="1" applyAlignment="1">
      <alignment horizontal="left" vertical="center" indent="4"/>
    </xf>
    <xf numFmtId="0" fontId="14" fillId="0" borderId="0" xfId="0" applyFont="1" applyAlignment="1">
      <alignment horizontal="left" vertical="center" indent="4"/>
    </xf>
    <xf numFmtId="0" fontId="9" fillId="0" borderId="0" xfId="0" applyFont="1" applyAlignment="1">
      <alignment horizontal="left" vertical="center" indent="9"/>
    </xf>
    <xf numFmtId="0" fontId="8" fillId="0" borderId="0" xfId="0" applyFont="1" applyAlignment="1">
      <alignment horizontal="left" vertical="center" indent="9"/>
    </xf>
    <xf numFmtId="0" fontId="4" fillId="0" borderId="0" xfId="0" applyFont="1"/>
    <xf numFmtId="0" fontId="6" fillId="4" borderId="13" xfId="0" applyFont="1" applyFill="1" applyBorder="1" applyAlignment="1">
      <alignment horizontal="center" vertical="center" wrapText="1" readingOrder="1"/>
    </xf>
    <xf numFmtId="0" fontId="6" fillId="4" borderId="14" xfId="0" applyFont="1" applyFill="1" applyBorder="1" applyAlignment="1">
      <alignment horizontal="center" vertical="center" wrapText="1" readingOrder="1"/>
    </xf>
    <xf numFmtId="0" fontId="7" fillId="5" borderId="15" xfId="0" applyFont="1" applyFill="1" applyBorder="1" applyAlignment="1">
      <alignment horizontal="center" vertical="center" wrapText="1" readingOrder="1"/>
    </xf>
    <xf numFmtId="0" fontId="7" fillId="5" borderId="16" xfId="0" applyFont="1" applyFill="1" applyBorder="1" applyAlignment="1">
      <alignment horizontal="center" vertical="center" wrapText="1" readingOrder="1"/>
    </xf>
    <xf numFmtId="0" fontId="6" fillId="4" borderId="17" xfId="0" applyFont="1" applyFill="1" applyBorder="1" applyAlignment="1">
      <alignment horizontal="center" vertical="center" wrapText="1" readingOrder="1"/>
    </xf>
    <xf numFmtId="0" fontId="6" fillId="4" borderId="18" xfId="0" applyFont="1" applyFill="1" applyBorder="1" applyAlignment="1">
      <alignment horizontal="center" vertical="center" wrapText="1" readingOrder="1"/>
    </xf>
    <xf numFmtId="0" fontId="6" fillId="4" borderId="19" xfId="0" applyFont="1" applyFill="1" applyBorder="1" applyAlignment="1">
      <alignment horizontal="center" vertical="center" wrapText="1" readingOrder="1"/>
    </xf>
    <xf numFmtId="0" fontId="6" fillId="4" borderId="20" xfId="0" applyFont="1" applyFill="1" applyBorder="1" applyAlignment="1">
      <alignment horizontal="center" vertical="center" wrapText="1" readingOrder="1"/>
    </xf>
    <xf numFmtId="0" fontId="7" fillId="5" borderId="21" xfId="0" applyFont="1" applyFill="1" applyBorder="1" applyAlignment="1">
      <alignment horizontal="center" vertical="center" wrapText="1" readingOrder="1"/>
    </xf>
    <xf numFmtId="0" fontId="7" fillId="5" borderId="22" xfId="0" applyFont="1" applyFill="1" applyBorder="1" applyAlignment="1">
      <alignment horizontal="center" vertical="center" wrapText="1" readingOrder="1"/>
    </xf>
    <xf numFmtId="0" fontId="3" fillId="0" borderId="0" xfId="0" applyFont="1"/>
    <xf numFmtId="0" fontId="3" fillId="0" borderId="0" xfId="0" applyFont="1" applyAlignment="1">
      <alignment horizontal="center"/>
    </xf>
    <xf numFmtId="0" fontId="15" fillId="0" borderId="1" xfId="0" applyFont="1" applyBorder="1" applyAlignment="1">
      <alignment horizontal="center"/>
    </xf>
    <xf numFmtId="0" fontId="16" fillId="0" borderId="1" xfId="0" applyFont="1" applyBorder="1" applyAlignment="1">
      <alignment horizontal="center"/>
    </xf>
    <xf numFmtId="0" fontId="17" fillId="0" borderId="1" xfId="0" applyFont="1" applyBorder="1" applyAlignment="1">
      <alignment horizontal="center"/>
    </xf>
    <xf numFmtId="0" fontId="3" fillId="0" borderId="0" xfId="0" applyFont="1" applyAlignment="1">
      <alignment horizontal="left"/>
    </xf>
    <xf numFmtId="0" fontId="19" fillId="0" borderId="4" xfId="0" applyFont="1" applyBorder="1" applyAlignment="1">
      <alignment horizontal="center"/>
    </xf>
    <xf numFmtId="0" fontId="20" fillId="0" borderId="1" xfId="0" applyFont="1" applyBorder="1" applyAlignment="1">
      <alignment horizontal="center"/>
    </xf>
    <xf numFmtId="0" fontId="20" fillId="0" borderId="5" xfId="0" applyFont="1" applyBorder="1" applyAlignment="1">
      <alignment horizontal="center"/>
    </xf>
    <xf numFmtId="0" fontId="19" fillId="0" borderId="9" xfId="0" applyFont="1" applyBorder="1" applyAlignment="1">
      <alignment horizontal="center"/>
    </xf>
    <xf numFmtId="0" fontId="20" fillId="0" borderId="10" xfId="0" applyFont="1" applyBorder="1" applyAlignment="1">
      <alignment horizontal="center"/>
    </xf>
    <xf numFmtId="0" fontId="20" fillId="0" borderId="11" xfId="0" applyFont="1" applyBorder="1" applyAlignment="1">
      <alignment horizontal="center"/>
    </xf>
    <xf numFmtId="0" fontId="21" fillId="0" borderId="1" xfId="0" applyFont="1" applyBorder="1"/>
    <xf numFmtId="0" fontId="21" fillId="0" borderId="1" xfId="0" applyFont="1" applyBorder="1" applyAlignment="1">
      <alignment horizontal="center"/>
    </xf>
    <xf numFmtId="0" fontId="21" fillId="0" borderId="0" xfId="0" applyFont="1" applyAlignment="1">
      <alignment horizontal="center"/>
    </xf>
    <xf numFmtId="0" fontId="21" fillId="0" borderId="0" xfId="0" applyFont="1"/>
    <xf numFmtId="0" fontId="4" fillId="0" borderId="0" xfId="0" applyFont="1" applyAlignment="1">
      <alignment horizontal="center"/>
    </xf>
    <xf numFmtId="0" fontId="21" fillId="0" borderId="5" xfId="0" applyFont="1" applyBorder="1" applyAlignment="1">
      <alignment horizontal="center"/>
    </xf>
    <xf numFmtId="0" fontId="21" fillId="0" borderId="23" xfId="0" applyFont="1" applyBorder="1" applyAlignment="1">
      <alignment horizontal="center"/>
    </xf>
    <xf numFmtId="0" fontId="21" fillId="0" borderId="4" xfId="0" applyFont="1" applyBorder="1" applyAlignment="1">
      <alignment horizontal="center"/>
    </xf>
    <xf numFmtId="0" fontId="3" fillId="0" borderId="10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0" fillId="0" borderId="0" xfId="0" applyAlignment="1">
      <alignment horizontal="left" wrapText="1"/>
    </xf>
    <xf numFmtId="0" fontId="0" fillId="0" borderId="0" xfId="0" applyAlignment="1">
      <alignment horizontal="left"/>
    </xf>
    <xf numFmtId="0" fontId="5" fillId="2" borderId="0" xfId="0" applyFont="1" applyFill="1" applyAlignment="1">
      <alignment horizontal="center"/>
    </xf>
  </cellXfs>
  <cellStyles count="1">
    <cellStyle name="Normal" xfId="0" builtinId="0"/>
  </cellStyles>
  <dxfs count="13">
    <dxf>
      <font>
        <sz val="24"/>
        <color rgb="FF000000"/>
        <name val="Calibri"/>
        <family val="2"/>
        <scheme val="none"/>
      </font>
      <fill>
        <patternFill patternType="solid">
          <fgColor indexed="64"/>
          <bgColor rgb="FFF4E9E9"/>
        </patternFill>
      </fill>
      <alignment horizontal="center" vertical="center" textRotation="0" wrapText="1" indent="0" justifyLastLine="0" shrinkToFit="0" readingOrder="1"/>
      <border diagonalUp="0" diagonalDown="0">
        <left style="medium">
          <color rgb="FFFFFFFF"/>
        </left>
        <right/>
        <top style="medium">
          <color rgb="FFFFFFFF"/>
        </top>
        <bottom style="medium">
          <color rgb="FFFFFFFF"/>
        </bottom>
        <vertical/>
        <horizontal/>
      </border>
    </dxf>
    <dxf>
      <font>
        <sz val="24"/>
        <color rgb="FF000000"/>
        <name val="Calibri"/>
        <family val="2"/>
        <scheme val="none"/>
      </font>
      <fill>
        <patternFill patternType="solid">
          <fgColor indexed="64"/>
          <bgColor rgb="FFF4E9E9"/>
        </patternFill>
      </fill>
      <alignment horizontal="center" vertical="center" textRotation="0" wrapText="1" indent="0" justifyLastLine="0" shrinkToFit="0" readingOrder="1"/>
      <border diagonalUp="0" diagonalDown="0">
        <left style="medium">
          <color rgb="FFFFFFFF"/>
        </left>
        <right style="medium">
          <color rgb="FFFFFFFF"/>
        </right>
        <top style="medium">
          <color rgb="FFFFFFFF"/>
        </top>
        <bottom style="medium">
          <color rgb="FFFFFFFF"/>
        </bottom>
        <vertical/>
        <horizontal/>
      </border>
    </dxf>
    <dxf>
      <font>
        <b/>
        <sz val="24"/>
        <color rgb="FFFFFFFF"/>
        <name val="Calibri"/>
        <family val="2"/>
        <scheme val="none"/>
      </font>
      <fill>
        <patternFill patternType="solid">
          <fgColor indexed="64"/>
          <bgColor rgb="FFC0504D"/>
        </patternFill>
      </fill>
      <alignment horizontal="center" vertical="center" textRotation="0" wrapText="1" indent="0" justifyLastLine="0" shrinkToFit="0" readingOrder="1"/>
      <border diagonalUp="0" diagonalDown="0">
        <left/>
        <right style="medium">
          <color rgb="FFFFFFFF"/>
        </right>
        <top style="medium">
          <color rgb="FFFFFFFF"/>
        </top>
        <bottom style="medium">
          <color rgb="FFFFFFFF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medium">
          <color rgb="FFFFFFFF"/>
        </left>
        <right style="medium">
          <color rgb="FFFFFFFF"/>
        </right>
        <top style="medium">
          <color rgb="FFFFFFFF"/>
        </top>
        <bottom style="medium">
          <color rgb="FFFFFFFF"/>
        </bottom>
      </border>
    </dxf>
    <dxf>
      <border outline="0">
        <bottom style="thick">
          <color rgb="FFFFFFF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4"/>
        <color rgb="FFFFFFFF"/>
        <name val="Calibri"/>
        <family val="2"/>
        <scheme val="none"/>
      </font>
      <fill>
        <patternFill patternType="solid">
          <fgColor indexed="64"/>
          <bgColor rgb="FFC0504D"/>
        </patternFill>
      </fill>
      <alignment horizontal="center" vertical="center" textRotation="0" wrapText="1" indent="0" justifyLastLine="0" shrinkToFit="0" readingOrder="1"/>
      <border diagonalUp="0" diagonalDown="0" outline="0">
        <left style="medium">
          <color rgb="FFFFFFFF"/>
        </left>
        <right style="medium">
          <color rgb="FFFFFFFF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Plotagem</a:t>
            </a:r>
            <a:r>
              <a:rPr lang="en-US" baseline="0"/>
              <a:t> de pontos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Exemplo1!$H$1</c:f>
              <c:strCache>
                <c:ptCount val="1"/>
                <c:pt idx="0">
                  <c:v>Y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5.9000000000000025E-2"/>
                  <c:y val="6.7362933799941672E-3"/>
                </c:manualLayout>
              </c:layout>
              <c:tx>
                <c:rich>
                  <a:bodyPr/>
                  <a:lstStyle/>
                  <a:p>
                    <a:fld id="{66942409-10DD-4A61-8412-659973D68C91}" type="CELLRANGE">
                      <a:rPr lang="en-US"/>
                      <a:pPr/>
                      <a:t>[INTERVALODACÉLULA]</a:t>
                    </a:fld>
                    <a:endParaRPr lang="pt-BR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2-39FF-4326-AC06-2CB7B9185F89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0D639833-DA8D-4909-A560-38D0A1D43580}" type="CELLRANGE">
                      <a:rPr lang="pt-BR"/>
                      <a:pPr/>
                      <a:t>[INTERVALODACÉLULA]</a:t>
                    </a:fld>
                    <a:endParaRPr lang="pt-B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39FF-4326-AC06-2CB7B9185F89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04EC5D92-FA9F-431C-8F1B-766A18B3AC5F}" type="CELLRANGE">
                      <a:rPr lang="pt-BR"/>
                      <a:pPr/>
                      <a:t>[INTERVALODACÉLULA]</a:t>
                    </a:fld>
                    <a:endParaRPr lang="pt-B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39FF-4326-AC06-2CB7B9185F89}"/>
                </c:ext>
              </c:extLst>
            </c:dLbl>
            <c:dLbl>
              <c:idx val="3"/>
              <c:layout>
                <c:manualLayout>
                  <c:x val="-6.6354330708661424E-2"/>
                  <c:y val="-1.6411854768154023E-2"/>
                </c:manualLayout>
              </c:layout>
              <c:tx>
                <c:rich>
                  <a:bodyPr/>
                  <a:lstStyle/>
                  <a:p>
                    <a:fld id="{A4F0D2DE-4B17-4D37-8352-629E12AF8225}" type="CELLRANGE">
                      <a:rPr lang="en-US"/>
                      <a:pPr/>
                      <a:t>[INTERVALODACÉLULA]</a:t>
                    </a:fld>
                    <a:endParaRPr lang="pt-BR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3-39FF-4326-AC06-2CB7B9185F89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688C5B66-0B05-479D-BD76-B10C0512E0A9}" type="CELLRANGE">
                      <a:rPr lang="pt-BR"/>
                      <a:pPr/>
                      <a:t>[INTERVALODACÉLULA]</a:t>
                    </a:fld>
                    <a:endParaRPr lang="pt-B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39FF-4326-AC06-2CB7B9185F89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159F6DB4-4B2B-425E-B458-FDD61CBF790B}" type="CELLRANGE">
                      <a:rPr lang="pt-BR"/>
                      <a:pPr/>
                      <a:t>[INTERVALODACÉLULA]</a:t>
                    </a:fld>
                    <a:endParaRPr lang="pt-B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39FF-4326-AC06-2CB7B9185F8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xVal>
            <c:numRef>
              <c:f>Exemplo1!$G$2:$G$7</c:f>
              <c:numCache>
                <c:formatCode>General</c:formatCode>
                <c:ptCount val="6"/>
                <c:pt idx="0">
                  <c:v>1</c:v>
                </c:pt>
                <c:pt idx="1">
                  <c:v>2</c:v>
                </c:pt>
                <c:pt idx="2">
                  <c:v>1</c:v>
                </c:pt>
                <c:pt idx="3">
                  <c:v>5</c:v>
                </c:pt>
                <c:pt idx="4">
                  <c:v>5</c:v>
                </c:pt>
                <c:pt idx="5">
                  <c:v>6</c:v>
                </c:pt>
              </c:numCache>
            </c:numRef>
          </c:xVal>
          <c:yVal>
            <c:numRef>
              <c:f>Exemplo1!$H$2:$H$7</c:f>
              <c:numCache>
                <c:formatCode>General</c:formatCode>
                <c:ptCount val="6"/>
                <c:pt idx="0">
                  <c:v>1</c:v>
                </c:pt>
                <c:pt idx="1">
                  <c:v>1</c:v>
                </c:pt>
                <c:pt idx="2">
                  <c:v>2</c:v>
                </c:pt>
                <c:pt idx="3">
                  <c:v>4</c:v>
                </c:pt>
                <c:pt idx="4">
                  <c:v>5</c:v>
                </c:pt>
                <c:pt idx="5">
                  <c:v>5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Exemplo1!$F$2:$F$7</c15:f>
                <c15:dlblRangeCache>
                  <c:ptCount val="6"/>
                  <c:pt idx="0">
                    <c:v>A</c:v>
                  </c:pt>
                  <c:pt idx="1">
                    <c:v>B</c:v>
                  </c:pt>
                  <c:pt idx="2">
                    <c:v>C</c:v>
                  </c:pt>
                  <c:pt idx="3">
                    <c:v>D</c:v>
                  </c:pt>
                  <c:pt idx="4">
                    <c:v>E</c:v>
                  </c:pt>
                  <c:pt idx="5">
                    <c:v>F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0-39FF-4326-AC06-2CB7B9185F89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656521727"/>
        <c:axId val="656522207"/>
      </c:scatterChart>
      <c:valAx>
        <c:axId val="6565217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56522207"/>
        <c:crosses val="autoZero"/>
        <c:crossBetween val="midCat"/>
      </c:valAx>
      <c:valAx>
        <c:axId val="6565222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5652172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8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Gráfico X/Y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8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8.9446032134704812E-2"/>
          <c:y val="0.1704043589533118"/>
          <c:w val="0.88084251968503935"/>
          <c:h val="0.72088764946048411"/>
        </c:manualLayout>
      </c:layout>
      <c:scatterChart>
        <c:scatterStyle val="lineMarker"/>
        <c:varyColors val="0"/>
        <c:ser>
          <c:idx val="1"/>
          <c:order val="0"/>
          <c:tx>
            <c:strRef>
              <c:f>[1]Exemplo!$D$11</c:f>
              <c:strCache>
                <c:ptCount val="1"/>
                <c:pt idx="0">
                  <c:v>Y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[1]Exemplo!$C$12:$C$17</c:f>
              <c:numCache>
                <c:formatCode>General</c:formatCode>
                <c:ptCount val="6"/>
                <c:pt idx="0">
                  <c:v>1</c:v>
                </c:pt>
                <c:pt idx="1">
                  <c:v>1</c:v>
                </c:pt>
                <c:pt idx="2">
                  <c:v>3</c:v>
                </c:pt>
                <c:pt idx="3">
                  <c:v>2</c:v>
                </c:pt>
                <c:pt idx="4">
                  <c:v>1</c:v>
                </c:pt>
                <c:pt idx="5">
                  <c:v>2</c:v>
                </c:pt>
              </c:numCache>
            </c:numRef>
          </c:xVal>
          <c:yVal>
            <c:numRef>
              <c:f>[1]Exemplo!$D$12:$D$17</c:f>
              <c:numCache>
                <c:formatCode>General</c:formatCode>
                <c:ptCount val="6"/>
                <c:pt idx="0">
                  <c:v>1</c:v>
                </c:pt>
                <c:pt idx="1">
                  <c:v>4</c:v>
                </c:pt>
                <c:pt idx="2">
                  <c:v>2</c:v>
                </c:pt>
                <c:pt idx="3">
                  <c:v>2</c:v>
                </c:pt>
                <c:pt idx="4">
                  <c:v>3</c:v>
                </c:pt>
                <c:pt idx="5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10A-48B0-9A46-DD80A8D636BF}"/>
            </c:ext>
          </c:extLst>
        </c:ser>
        <c:ser>
          <c:idx val="0"/>
          <c:order val="1"/>
          <c:tx>
            <c:strRef>
              <c:f>[1]Exemplo!$D$11</c:f>
              <c:strCache>
                <c:ptCount val="1"/>
                <c:pt idx="0">
                  <c:v>Y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tx>
                <c:rich>
                  <a:bodyPr/>
                  <a:lstStyle/>
                  <a:p>
                    <a:fld id="{97BB88AD-6CAE-4BFD-AF47-A6FE47D8E14F}" type="CELLRANGE">
                      <a:rPr lang="en-US"/>
                      <a:pPr/>
                      <a:t>[INTERVALODACÉLULA]</a:t>
                    </a:fld>
                    <a:endParaRPr lang="pt-B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1-E10A-48B0-9A46-DD80A8D636BF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3F43FFA0-F2E6-478B-ADEE-873EBAD011C8}" type="CELLRANGE">
                      <a:rPr lang="pt-BR"/>
                      <a:pPr/>
                      <a:t>[INTERVALODACÉLULA]</a:t>
                    </a:fld>
                    <a:endParaRPr lang="pt-B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E10A-48B0-9A46-DD80A8D636BF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6B557FE9-C07E-432E-8E28-4DEA6D2F52FB}" type="CELLRANGE">
                      <a:rPr lang="pt-BR"/>
                      <a:pPr/>
                      <a:t>[INTERVALODACÉLULA]</a:t>
                    </a:fld>
                    <a:endParaRPr lang="pt-B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E10A-48B0-9A46-DD80A8D636BF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78A4D9B8-8286-4520-A9ED-F63AB44889D9}" type="CELLRANGE">
                      <a:rPr lang="pt-BR"/>
                      <a:pPr/>
                      <a:t>[INTERVALODACÉLULA]</a:t>
                    </a:fld>
                    <a:endParaRPr lang="pt-B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E10A-48B0-9A46-DD80A8D636BF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4D3ED84F-C109-44A5-BB6D-E6C2BD87B809}" type="CELLRANGE">
                      <a:rPr lang="pt-BR"/>
                      <a:pPr/>
                      <a:t>[INTERVALODACÉLULA]</a:t>
                    </a:fld>
                    <a:endParaRPr lang="pt-B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E10A-48B0-9A46-DD80A8D636BF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10E677B1-05DE-4310-9723-9AEE84025C92}" type="CELLRANGE">
                      <a:rPr lang="pt-BR"/>
                      <a:pPr/>
                      <a:t>[INTERVALODACÉLULA]</a:t>
                    </a:fld>
                    <a:endParaRPr lang="pt-B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E10A-48B0-9A46-DD80A8D636B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[1]Exemplo!$C$12:$C$17</c:f>
              <c:numCache>
                <c:formatCode>General</c:formatCode>
                <c:ptCount val="6"/>
                <c:pt idx="0">
                  <c:v>1</c:v>
                </c:pt>
                <c:pt idx="1">
                  <c:v>1</c:v>
                </c:pt>
                <c:pt idx="2">
                  <c:v>3</c:v>
                </c:pt>
                <c:pt idx="3">
                  <c:v>2</c:v>
                </c:pt>
                <c:pt idx="4">
                  <c:v>1</c:v>
                </c:pt>
                <c:pt idx="5">
                  <c:v>2</c:v>
                </c:pt>
              </c:numCache>
            </c:numRef>
          </c:xVal>
          <c:yVal>
            <c:numRef>
              <c:f>[1]Exemplo!$D$12:$D$17</c:f>
              <c:numCache>
                <c:formatCode>General</c:formatCode>
                <c:ptCount val="6"/>
                <c:pt idx="0">
                  <c:v>1</c:v>
                </c:pt>
                <c:pt idx="1">
                  <c:v>4</c:v>
                </c:pt>
                <c:pt idx="2">
                  <c:v>2</c:v>
                </c:pt>
                <c:pt idx="3">
                  <c:v>2</c:v>
                </c:pt>
                <c:pt idx="4">
                  <c:v>3</c:v>
                </c:pt>
                <c:pt idx="5">
                  <c:v>1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[1]Exemplo!$B$12:$B$17</c15:f>
                <c15:dlblRangeCache>
                  <c:ptCount val="6"/>
                  <c:pt idx="0">
                    <c:v>A</c:v>
                  </c:pt>
                  <c:pt idx="1">
                    <c:v>B</c:v>
                  </c:pt>
                  <c:pt idx="2">
                    <c:v>C</c:v>
                  </c:pt>
                  <c:pt idx="3">
                    <c:v>D</c:v>
                  </c:pt>
                  <c:pt idx="4">
                    <c:v>E</c:v>
                  </c:pt>
                  <c:pt idx="5">
                    <c:v>F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7-E10A-48B0-9A46-DD80A8D636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3031808"/>
        <c:axId val="483029840"/>
      </c:scatterChart>
      <c:valAx>
        <c:axId val="4830318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83029840"/>
        <c:crosses val="autoZero"/>
        <c:crossBetween val="midCat"/>
      </c:valAx>
      <c:valAx>
        <c:axId val="4830298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83031808"/>
        <c:crosses val="autoZero"/>
        <c:crossBetween val="midCat"/>
      </c:valAx>
      <c:spPr>
        <a:noFill/>
        <a:ln w="25400"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400">
          <a:solidFill>
            <a:schemeClr val="tx1"/>
          </a:solidFill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8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Gráfico X/Y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8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8.4629656761830749E-2"/>
          <c:y val="0.14015420797739175"/>
          <c:w val="0.88084251968503935"/>
          <c:h val="0.72088764946048411"/>
        </c:manualLayout>
      </c:layout>
      <c:scatterChart>
        <c:scatterStyle val="lineMarker"/>
        <c:varyColors val="0"/>
        <c:ser>
          <c:idx val="1"/>
          <c:order val="0"/>
          <c:tx>
            <c:strRef>
              <c:f>[1]Exemplo!$D$11</c:f>
              <c:strCache>
                <c:ptCount val="1"/>
                <c:pt idx="0">
                  <c:v>Y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[1]Exemplo!$C$12:$C$17</c:f>
              <c:numCache>
                <c:formatCode>General</c:formatCode>
                <c:ptCount val="6"/>
                <c:pt idx="0">
                  <c:v>1</c:v>
                </c:pt>
                <c:pt idx="1">
                  <c:v>1</c:v>
                </c:pt>
                <c:pt idx="2">
                  <c:v>3</c:v>
                </c:pt>
                <c:pt idx="3">
                  <c:v>2</c:v>
                </c:pt>
                <c:pt idx="4">
                  <c:v>1</c:v>
                </c:pt>
                <c:pt idx="5">
                  <c:v>2</c:v>
                </c:pt>
              </c:numCache>
            </c:numRef>
          </c:xVal>
          <c:yVal>
            <c:numRef>
              <c:f>[1]Exemplo!$D$12:$D$17</c:f>
              <c:numCache>
                <c:formatCode>General</c:formatCode>
                <c:ptCount val="6"/>
                <c:pt idx="0">
                  <c:v>1</c:v>
                </c:pt>
                <c:pt idx="1">
                  <c:v>4</c:v>
                </c:pt>
                <c:pt idx="2">
                  <c:v>2</c:v>
                </c:pt>
                <c:pt idx="3">
                  <c:v>2</c:v>
                </c:pt>
                <c:pt idx="4">
                  <c:v>3</c:v>
                </c:pt>
                <c:pt idx="5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F62-47C1-A88B-931374EECBBA}"/>
            </c:ext>
          </c:extLst>
        </c:ser>
        <c:ser>
          <c:idx val="0"/>
          <c:order val="1"/>
          <c:tx>
            <c:strRef>
              <c:f>[1]Exemplo!$D$11</c:f>
              <c:strCache>
                <c:ptCount val="1"/>
                <c:pt idx="0">
                  <c:v>Y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tx>
                <c:rich>
                  <a:bodyPr/>
                  <a:lstStyle/>
                  <a:p>
                    <a:fld id="{F3BC72E0-FF56-4D7F-9E0D-8625C5E09A70}" type="CELLRANGE">
                      <a:rPr lang="en-US"/>
                      <a:pPr/>
                      <a:t>[INTERVALODACÉLULA]</a:t>
                    </a:fld>
                    <a:endParaRPr lang="pt-B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1-DF62-47C1-A88B-931374EECBBA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4C8B31AA-C003-4F4D-B1D0-60AE2642B9B4}" type="CELLRANGE">
                      <a:rPr lang="pt-BR"/>
                      <a:pPr/>
                      <a:t>[INTERVALODACÉLULA]</a:t>
                    </a:fld>
                    <a:endParaRPr lang="pt-B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DF62-47C1-A88B-931374EECBBA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E8629B31-76DE-47E7-8678-C8EBF87856DA}" type="CELLRANGE">
                      <a:rPr lang="pt-BR"/>
                      <a:pPr/>
                      <a:t>[INTERVALODACÉLULA]</a:t>
                    </a:fld>
                    <a:endParaRPr lang="pt-B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DF62-47C1-A88B-931374EECBBA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24964CEB-3A0C-4019-A085-CE8694058CE0}" type="CELLRANGE">
                      <a:rPr lang="pt-BR"/>
                      <a:pPr/>
                      <a:t>[INTERVALODACÉLULA]</a:t>
                    </a:fld>
                    <a:endParaRPr lang="pt-B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DF62-47C1-A88B-931374EECBBA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54BB02E7-729E-4147-B7FB-9012A6CE399F}" type="CELLRANGE">
                      <a:rPr lang="pt-BR"/>
                      <a:pPr/>
                      <a:t>[INTERVALODACÉLULA]</a:t>
                    </a:fld>
                    <a:endParaRPr lang="pt-B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DF62-47C1-A88B-931374EECBBA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D29DA7E1-57B4-4F99-9CB4-C92C566D72D6}" type="CELLRANGE">
                      <a:rPr lang="pt-BR"/>
                      <a:pPr/>
                      <a:t>[INTERVALODACÉLULA]</a:t>
                    </a:fld>
                    <a:endParaRPr lang="pt-B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DF62-47C1-A88B-931374EECBB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[1]Exemplo!$C$12:$C$17</c:f>
              <c:numCache>
                <c:formatCode>General</c:formatCode>
                <c:ptCount val="6"/>
                <c:pt idx="0">
                  <c:v>1</c:v>
                </c:pt>
                <c:pt idx="1">
                  <c:v>1</c:v>
                </c:pt>
                <c:pt idx="2">
                  <c:v>3</c:v>
                </c:pt>
                <c:pt idx="3">
                  <c:v>2</c:v>
                </c:pt>
                <c:pt idx="4">
                  <c:v>1</c:v>
                </c:pt>
                <c:pt idx="5">
                  <c:v>2</c:v>
                </c:pt>
              </c:numCache>
            </c:numRef>
          </c:xVal>
          <c:yVal>
            <c:numRef>
              <c:f>[1]Exemplo!$D$12:$D$17</c:f>
              <c:numCache>
                <c:formatCode>General</c:formatCode>
                <c:ptCount val="6"/>
                <c:pt idx="0">
                  <c:v>1</c:v>
                </c:pt>
                <c:pt idx="1">
                  <c:v>4</c:v>
                </c:pt>
                <c:pt idx="2">
                  <c:v>2</c:v>
                </c:pt>
                <c:pt idx="3">
                  <c:v>2</c:v>
                </c:pt>
                <c:pt idx="4">
                  <c:v>3</c:v>
                </c:pt>
                <c:pt idx="5">
                  <c:v>1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[1]Exemplo!$B$12:$B$17</c15:f>
                <c15:dlblRangeCache>
                  <c:ptCount val="6"/>
                  <c:pt idx="0">
                    <c:v>A</c:v>
                  </c:pt>
                  <c:pt idx="1">
                    <c:v>B</c:v>
                  </c:pt>
                  <c:pt idx="2">
                    <c:v>C</c:v>
                  </c:pt>
                  <c:pt idx="3">
                    <c:v>D</c:v>
                  </c:pt>
                  <c:pt idx="4">
                    <c:v>E</c:v>
                  </c:pt>
                  <c:pt idx="5">
                    <c:v>F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7-DF62-47C1-A88B-931374EECB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3031808"/>
        <c:axId val="483029840"/>
      </c:scatterChart>
      <c:valAx>
        <c:axId val="4830318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83029840"/>
        <c:crosses val="autoZero"/>
        <c:crossBetween val="midCat"/>
      </c:valAx>
      <c:valAx>
        <c:axId val="4830298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83031808"/>
        <c:crosses val="autoZero"/>
        <c:crossBetween val="midCat"/>
      </c:valAx>
      <c:spPr>
        <a:noFill/>
        <a:ln w="25400"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400">
          <a:solidFill>
            <a:schemeClr val="tx1"/>
          </a:solidFill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173566</xdr:colOff>
      <xdr:row>6</xdr:row>
      <xdr:rowOff>249767</xdr:rowOff>
    </xdr:from>
    <xdr:to>
      <xdr:col>13</xdr:col>
      <xdr:colOff>33866</xdr:colOff>
      <xdr:row>13</xdr:row>
      <xdr:rowOff>50800</xdr:rowOff>
    </xdr:to>
    <xdr:sp macro="" textlink="">
      <xdr:nvSpPr>
        <xdr:cNvPr id="3" name="Elipse 2">
          <a:extLst>
            <a:ext uri="{FF2B5EF4-FFF2-40B4-BE49-F238E27FC236}">
              <a16:creationId xmlns:a16="http://schemas.microsoft.com/office/drawing/2014/main" id="{656F3461-FEC6-6E19-30D2-820B1362117C}"/>
            </a:ext>
          </a:extLst>
        </xdr:cNvPr>
        <xdr:cNvSpPr/>
      </xdr:nvSpPr>
      <xdr:spPr>
        <a:xfrm>
          <a:off x="6608233" y="2501900"/>
          <a:ext cx="1790700" cy="1731433"/>
        </a:xfrm>
        <a:prstGeom prst="ellipse">
          <a:avLst/>
        </a:prstGeom>
      </xdr:spPr>
      <xdr:style>
        <a:lnRef idx="2">
          <a:schemeClr val="accent4"/>
        </a:lnRef>
        <a:fillRef idx="1">
          <a:schemeClr val="lt1"/>
        </a:fillRef>
        <a:effectRef idx="0">
          <a:schemeClr val="accent4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9</xdr:col>
      <xdr:colOff>139700</xdr:colOff>
      <xdr:row>0</xdr:row>
      <xdr:rowOff>280986</xdr:rowOff>
    </xdr:from>
    <xdr:to>
      <xdr:col>19</xdr:col>
      <xdr:colOff>409575</xdr:colOff>
      <xdr:row>14</xdr:row>
      <xdr:rowOff>110067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D4D31A2D-03A5-D233-FE58-E0DE3451AEF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592667</xdr:colOff>
      <xdr:row>6</xdr:row>
      <xdr:rowOff>156634</xdr:rowOff>
    </xdr:from>
    <xdr:to>
      <xdr:col>13</xdr:col>
      <xdr:colOff>182033</xdr:colOff>
      <xdr:row>14</xdr:row>
      <xdr:rowOff>101600</xdr:rowOff>
    </xdr:to>
    <xdr:sp macro="" textlink="">
      <xdr:nvSpPr>
        <xdr:cNvPr id="4" name="Elipse 3">
          <a:extLst>
            <a:ext uri="{FF2B5EF4-FFF2-40B4-BE49-F238E27FC236}">
              <a16:creationId xmlns:a16="http://schemas.microsoft.com/office/drawing/2014/main" id="{9B12DCDA-4F1D-BB31-F3DB-8CA90BF4F1ED}"/>
            </a:ext>
          </a:extLst>
        </xdr:cNvPr>
        <xdr:cNvSpPr/>
      </xdr:nvSpPr>
      <xdr:spPr>
        <a:xfrm>
          <a:off x="6383867" y="2408767"/>
          <a:ext cx="2163233" cy="2137833"/>
        </a:xfrm>
        <a:prstGeom prst="ellipse">
          <a:avLst/>
        </a:prstGeom>
        <a:noFill/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15</xdr:col>
      <xdr:colOff>287867</xdr:colOff>
      <xdr:row>1</xdr:row>
      <xdr:rowOff>347133</xdr:rowOff>
    </xdr:from>
    <xdr:to>
      <xdr:col>18</xdr:col>
      <xdr:colOff>520700</xdr:colOff>
      <xdr:row>7</xdr:row>
      <xdr:rowOff>148166</xdr:rowOff>
    </xdr:to>
    <xdr:sp macro="" textlink="">
      <xdr:nvSpPr>
        <xdr:cNvPr id="5" name="Elipse 4">
          <a:extLst>
            <a:ext uri="{FF2B5EF4-FFF2-40B4-BE49-F238E27FC236}">
              <a16:creationId xmlns:a16="http://schemas.microsoft.com/office/drawing/2014/main" id="{73B9BB87-3F3B-4112-B90A-681D6C26BEB5}"/>
            </a:ext>
          </a:extLst>
        </xdr:cNvPr>
        <xdr:cNvSpPr/>
      </xdr:nvSpPr>
      <xdr:spPr>
        <a:xfrm>
          <a:off x="9939867" y="651933"/>
          <a:ext cx="2163233" cy="2137833"/>
        </a:xfrm>
        <a:prstGeom prst="ellipse">
          <a:avLst/>
        </a:prstGeom>
        <a:noFill/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293685</xdr:colOff>
      <xdr:row>40</xdr:row>
      <xdr:rowOff>162984</xdr:rowOff>
    </xdr:from>
    <xdr:to>
      <xdr:col>20</xdr:col>
      <xdr:colOff>425447</xdr:colOff>
      <xdr:row>67</xdr:row>
      <xdr:rowOff>16933</xdr:rowOff>
    </xdr:to>
    <xdr:grpSp>
      <xdr:nvGrpSpPr>
        <xdr:cNvPr id="2" name="Agrupar 1">
          <a:extLst>
            <a:ext uri="{FF2B5EF4-FFF2-40B4-BE49-F238E27FC236}">
              <a16:creationId xmlns:a16="http://schemas.microsoft.com/office/drawing/2014/main" id="{433DA312-7ED6-4AC2-AA04-079A68A6A028}"/>
            </a:ext>
          </a:extLst>
        </xdr:cNvPr>
        <xdr:cNvGrpSpPr/>
      </xdr:nvGrpSpPr>
      <xdr:grpSpPr>
        <a:xfrm>
          <a:off x="6664852" y="11931651"/>
          <a:ext cx="7836428" cy="7325782"/>
          <a:chOff x="5534023" y="8534401"/>
          <a:chExt cx="7910513" cy="5457824"/>
        </a:xfrm>
      </xdr:grpSpPr>
      <xdr:graphicFrame macro="">
        <xdr:nvGraphicFramePr>
          <xdr:cNvPr id="3" name="Gráfico 2">
            <a:extLst>
              <a:ext uri="{FF2B5EF4-FFF2-40B4-BE49-F238E27FC236}">
                <a16:creationId xmlns:a16="http://schemas.microsoft.com/office/drawing/2014/main" id="{94BEEA4B-26EC-9CBE-478A-E14253CA55EB}"/>
              </a:ext>
            </a:extLst>
          </xdr:cNvPr>
          <xdr:cNvGraphicFramePr>
            <a:graphicFrameLocks/>
          </xdr:cNvGraphicFramePr>
        </xdr:nvGraphicFramePr>
        <xdr:xfrm>
          <a:off x="5534023" y="8534401"/>
          <a:ext cx="7910513" cy="5457824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Elipse 3">
            <a:extLst>
              <a:ext uri="{FF2B5EF4-FFF2-40B4-BE49-F238E27FC236}">
                <a16:creationId xmlns:a16="http://schemas.microsoft.com/office/drawing/2014/main" id="{6D335F2B-DE21-AC70-CF49-D360D5360DC9}"/>
              </a:ext>
            </a:extLst>
          </xdr:cNvPr>
          <xdr:cNvSpPr/>
        </xdr:nvSpPr>
        <xdr:spPr>
          <a:xfrm>
            <a:off x="7681914" y="9396413"/>
            <a:ext cx="1109661" cy="1990725"/>
          </a:xfrm>
          <a:prstGeom prst="ellipse">
            <a:avLst/>
          </a:prstGeom>
          <a:noFill/>
          <a:ln>
            <a:solidFill>
              <a:srgbClr val="FF0000"/>
            </a:solidFill>
          </a:ln>
        </xdr:spPr>
        <xdr:style>
          <a:lnRef idx="2">
            <a:schemeClr val="accent5"/>
          </a:lnRef>
          <a:fillRef idx="1">
            <a:schemeClr val="lt1"/>
          </a:fillRef>
          <a:effectRef idx="0">
            <a:schemeClr val="accent5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">
        <xdr:nvSpPr>
          <xdr:cNvPr id="5" name="Elipse 4">
            <a:extLst>
              <a:ext uri="{FF2B5EF4-FFF2-40B4-BE49-F238E27FC236}">
                <a16:creationId xmlns:a16="http://schemas.microsoft.com/office/drawing/2014/main" id="{9E99535F-BAB3-D5AD-ECFC-676A033183BA}"/>
              </a:ext>
            </a:extLst>
          </xdr:cNvPr>
          <xdr:cNvSpPr/>
        </xdr:nvSpPr>
        <xdr:spPr>
          <a:xfrm>
            <a:off x="7335218" y="11202930"/>
            <a:ext cx="5851493" cy="1786960"/>
          </a:xfrm>
          <a:prstGeom prst="ellipse">
            <a:avLst/>
          </a:prstGeom>
          <a:noFill/>
          <a:ln>
            <a:solidFill>
              <a:srgbClr val="00B0F0"/>
            </a:solidFill>
          </a:ln>
        </xdr:spPr>
        <xdr:style>
          <a:lnRef idx="2">
            <a:schemeClr val="accent5"/>
          </a:lnRef>
          <a:fillRef idx="1">
            <a:schemeClr val="lt1"/>
          </a:fillRef>
          <a:effectRef idx="0">
            <a:schemeClr val="accent5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</xdr:grpSp>
    <xdr:clientData/>
  </xdr:twoCellAnchor>
  <xdr:twoCellAnchor>
    <xdr:from>
      <xdr:col>8</xdr:col>
      <xdr:colOff>304800</xdr:colOff>
      <xdr:row>15</xdr:row>
      <xdr:rowOff>122238</xdr:rowOff>
    </xdr:from>
    <xdr:to>
      <xdr:col>20</xdr:col>
      <xdr:colOff>449263</xdr:colOff>
      <xdr:row>40</xdr:row>
      <xdr:rowOff>75670</xdr:rowOff>
    </xdr:to>
    <xdr:grpSp>
      <xdr:nvGrpSpPr>
        <xdr:cNvPr id="6" name="Agrupar 5">
          <a:extLst>
            <a:ext uri="{FF2B5EF4-FFF2-40B4-BE49-F238E27FC236}">
              <a16:creationId xmlns:a16="http://schemas.microsoft.com/office/drawing/2014/main" id="{5D68B5B1-41E7-4676-9806-AC09AAC20C94}"/>
            </a:ext>
          </a:extLst>
        </xdr:cNvPr>
        <xdr:cNvGrpSpPr/>
      </xdr:nvGrpSpPr>
      <xdr:grpSpPr>
        <a:xfrm>
          <a:off x="6675967" y="4390850"/>
          <a:ext cx="7849129" cy="7453487"/>
          <a:chOff x="5550359" y="2984544"/>
          <a:chExt cx="7911570" cy="5458598"/>
        </a:xfrm>
      </xdr:grpSpPr>
      <xdr:graphicFrame macro="">
        <xdr:nvGraphicFramePr>
          <xdr:cNvPr id="7" name="Gráfico 6">
            <a:extLst>
              <a:ext uri="{FF2B5EF4-FFF2-40B4-BE49-F238E27FC236}">
                <a16:creationId xmlns:a16="http://schemas.microsoft.com/office/drawing/2014/main" id="{7A155399-56D5-46F8-7185-86F83A985AC8}"/>
              </a:ext>
            </a:extLst>
          </xdr:cNvPr>
          <xdr:cNvGraphicFramePr>
            <a:graphicFrameLocks/>
          </xdr:cNvGraphicFramePr>
        </xdr:nvGraphicFramePr>
        <xdr:xfrm>
          <a:off x="5550359" y="2984544"/>
          <a:ext cx="7911570" cy="545859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">
        <xdr:nvSpPr>
          <xdr:cNvPr id="8" name="Elipse 7">
            <a:extLst>
              <a:ext uri="{FF2B5EF4-FFF2-40B4-BE49-F238E27FC236}">
                <a16:creationId xmlns:a16="http://schemas.microsoft.com/office/drawing/2014/main" id="{040D7584-6259-4EFB-BEE3-4DB67E3CD218}"/>
              </a:ext>
            </a:extLst>
          </xdr:cNvPr>
          <xdr:cNvSpPr/>
        </xdr:nvSpPr>
        <xdr:spPr>
          <a:xfrm>
            <a:off x="7743825" y="3852862"/>
            <a:ext cx="1042988" cy="3614738"/>
          </a:xfrm>
          <a:prstGeom prst="ellipse">
            <a:avLst/>
          </a:prstGeom>
          <a:noFill/>
          <a:ln>
            <a:solidFill>
              <a:srgbClr val="FF0000"/>
            </a:solidFill>
          </a:ln>
        </xdr:spPr>
        <xdr:style>
          <a:lnRef idx="2">
            <a:schemeClr val="accent5"/>
          </a:lnRef>
          <a:fillRef idx="1">
            <a:schemeClr val="lt1"/>
          </a:fillRef>
          <a:effectRef idx="0">
            <a:schemeClr val="accent5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">
        <xdr:nvSpPr>
          <xdr:cNvPr id="9" name="Elipse 8">
            <a:extLst>
              <a:ext uri="{FF2B5EF4-FFF2-40B4-BE49-F238E27FC236}">
                <a16:creationId xmlns:a16="http://schemas.microsoft.com/office/drawing/2014/main" id="{6CBAB5B5-D5D9-AA00-907B-8FEBD0E122C3}"/>
              </a:ext>
            </a:extLst>
          </xdr:cNvPr>
          <xdr:cNvSpPr/>
        </xdr:nvSpPr>
        <xdr:spPr>
          <a:xfrm>
            <a:off x="9658350" y="5448299"/>
            <a:ext cx="3119438" cy="1795464"/>
          </a:xfrm>
          <a:prstGeom prst="ellipse">
            <a:avLst/>
          </a:prstGeom>
          <a:noFill/>
          <a:ln>
            <a:solidFill>
              <a:srgbClr val="00B0F0"/>
            </a:solidFill>
          </a:ln>
        </xdr:spPr>
        <xdr:style>
          <a:lnRef idx="2">
            <a:schemeClr val="accent5"/>
          </a:lnRef>
          <a:fillRef idx="1">
            <a:schemeClr val="lt1"/>
          </a:fillRef>
          <a:effectRef idx="0">
            <a:schemeClr val="accent5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</xdr:grp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Documents/UFPR/Disciplinas/Minera&#231;&#227;o/Aulas/Aula%206%20-%20Clustering/2025_Agrupamento%20GABARITO.xlsx" TargetMode="External"/><Relationship Id="rId2" Type="http://schemas.openxmlformats.org/officeDocument/2006/relationships/externalLinkPath" Target="file:///D:\Users\Denny\Documents\UFPR\Disciplinas\Minera&#231;&#227;o\Aulas\Aula%206%20-%20Clustering\2025_Agrupamento%20GABARITO.xlsx" TargetMode="External"/><Relationship Id="rId1" Type="http://schemas.openxmlformats.org/officeDocument/2006/relationships/externalLinkPath" Target="/Users/Denny/Documents/UFPR/Disciplinas/Minera&#231;&#227;o/Aulas/Aula%206%20-%20Clustering/2025_Agrupamento%20GABARITO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Exemplo"/>
      <sheetName val="Distâncias"/>
      <sheetName val="Atividade 1"/>
      <sheetName val="Atividade 2"/>
      <sheetName val="Atividade 3"/>
      <sheetName val="Atividade 4"/>
      <sheetName val="Atividade EXTRA"/>
    </sheetNames>
    <sheetDataSet>
      <sheetData sheetId="0">
        <row r="11">
          <cell r="D11" t="str">
            <v>Y</v>
          </cell>
        </row>
        <row r="12">
          <cell r="B12" t="str">
            <v>A</v>
          </cell>
          <cell r="C12">
            <v>1</v>
          </cell>
          <cell r="D12">
            <v>1</v>
          </cell>
        </row>
        <row r="13">
          <cell r="B13" t="str">
            <v>B</v>
          </cell>
          <cell r="C13">
            <v>1</v>
          </cell>
          <cell r="D13">
            <v>4</v>
          </cell>
        </row>
        <row r="14">
          <cell r="B14" t="str">
            <v>C</v>
          </cell>
          <cell r="C14">
            <v>3</v>
          </cell>
          <cell r="D14">
            <v>2</v>
          </cell>
        </row>
        <row r="15">
          <cell r="B15" t="str">
            <v>D</v>
          </cell>
          <cell r="C15">
            <v>2</v>
          </cell>
          <cell r="D15">
            <v>2</v>
          </cell>
        </row>
        <row r="16">
          <cell r="B16" t="str">
            <v>E</v>
          </cell>
          <cell r="C16">
            <v>1</v>
          </cell>
          <cell r="D16">
            <v>3</v>
          </cell>
        </row>
        <row r="17">
          <cell r="B17" t="str">
            <v>F</v>
          </cell>
          <cell r="C17">
            <v>2</v>
          </cell>
          <cell r="D17">
            <v>1</v>
          </cell>
        </row>
      </sheetData>
      <sheetData sheetId="1"/>
      <sheetData sheetId="2"/>
      <sheetData sheetId="3"/>
      <sheetData sheetId="4"/>
      <sheetData sheetId="5"/>
      <sheetData sheetId="6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DB11665-74B5-4B24-81FC-9CDA4859B7F7}" name="Tabela1" displayName="Tabela1" ref="F1:H7" totalsRowShown="0" headerRowBorderDxfId="12" tableBorderDxfId="11" totalsRowBorderDxfId="10">
  <tableColumns count="3">
    <tableColumn id="1" xr3:uid="{9D84F071-8C61-423B-A5D8-543811AA7673}" name="ID" dataDxfId="9"/>
    <tableColumn id="2" xr3:uid="{E865F8FB-12BE-4C80-8A5E-C9CB848EF778}" name="X" dataDxfId="8"/>
    <tableColumn id="3" xr3:uid="{7A15C8FF-0D57-4E1B-A7F7-0AD83AD7D770}" name="Y" dataDxfId="7"/>
  </tableColumns>
  <tableStyleInfo name="TableStyleMedium6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5F79068-2711-40CD-920C-7C204E83A431}" name="Tabela13" displayName="Tabela13" ref="B11:D17" totalsRowShown="0" headerRowDxfId="6" headerRowBorderDxfId="5" tableBorderDxfId="4" totalsRowBorderDxfId="3">
  <autoFilter ref="B11:D17" xr:uid="{85F79068-2711-40CD-920C-7C204E83A431}"/>
  <tableColumns count="3">
    <tableColumn id="1" xr3:uid="{E7745BDA-0535-46A6-9B65-32572F302BA5}" name="Pontos" dataDxfId="2"/>
    <tableColumn id="2" xr3:uid="{0198AE3E-6806-4E7F-A09D-A94AF8D592A4}" name="X" dataDxfId="1"/>
    <tableColumn id="3" xr3:uid="{89D0BA65-E37D-4CD8-825C-C3D98D145CD0}" name="Y" dataDxfId="0"/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AECFEB-BB74-4415-919F-5EBA31DBDB6C}">
  <dimension ref="A1:H20"/>
  <sheetViews>
    <sheetView zoomScale="80" zoomScaleNormal="80" workbookViewId="0">
      <selection activeCell="G17" sqref="G17"/>
    </sheetView>
  </sheetViews>
  <sheetFormatPr defaultRowHeight="14.35" x14ac:dyDescent="0.5"/>
  <cols>
    <col min="5" max="5" width="15.8203125" bestFit="1" customWidth="1"/>
    <col min="6" max="6" width="11.3515625" customWidth="1"/>
    <col min="7" max="7" width="12.703125" customWidth="1"/>
  </cols>
  <sheetData>
    <row r="1" spans="1:8" ht="24" x14ac:dyDescent="0.85">
      <c r="F1" s="11" t="s">
        <v>8</v>
      </c>
      <c r="G1" s="12" t="s">
        <v>6</v>
      </c>
      <c r="H1" s="13" t="s">
        <v>7</v>
      </c>
    </row>
    <row r="2" spans="1:8" ht="30.7" x14ac:dyDescent="0.85">
      <c r="A2" s="1" t="s">
        <v>0</v>
      </c>
      <c r="F2" s="37" t="s">
        <v>9</v>
      </c>
      <c r="G2" s="38">
        <v>1</v>
      </c>
      <c r="H2" s="39">
        <v>1</v>
      </c>
    </row>
    <row r="3" spans="1:8" ht="30.7" x14ac:dyDescent="0.85">
      <c r="A3" s="1" t="s">
        <v>1</v>
      </c>
      <c r="F3" s="9" t="s">
        <v>10</v>
      </c>
      <c r="G3" s="2">
        <v>2</v>
      </c>
      <c r="H3" s="10">
        <v>1</v>
      </c>
    </row>
    <row r="4" spans="1:8" ht="30.7" x14ac:dyDescent="0.85">
      <c r="A4" s="1" t="s">
        <v>2</v>
      </c>
      <c r="F4" s="9" t="s">
        <v>11</v>
      </c>
      <c r="G4" s="2">
        <v>1</v>
      </c>
      <c r="H4" s="10">
        <v>2</v>
      </c>
    </row>
    <row r="5" spans="1:8" ht="30.7" x14ac:dyDescent="0.85">
      <c r="A5" s="1" t="s">
        <v>3</v>
      </c>
      <c r="F5" s="9" t="s">
        <v>12</v>
      </c>
      <c r="G5" s="2">
        <v>5</v>
      </c>
      <c r="H5" s="10">
        <v>4</v>
      </c>
    </row>
    <row r="6" spans="1:8" ht="30.7" x14ac:dyDescent="0.85">
      <c r="A6" s="1" t="s">
        <v>4</v>
      </c>
      <c r="F6" s="9" t="s">
        <v>13</v>
      </c>
      <c r="G6" s="2">
        <v>5</v>
      </c>
      <c r="H6" s="10">
        <v>5</v>
      </c>
    </row>
    <row r="7" spans="1:8" ht="30.7" x14ac:dyDescent="0.85">
      <c r="A7" s="1" t="s">
        <v>5</v>
      </c>
      <c r="F7" s="40" t="s">
        <v>14</v>
      </c>
      <c r="G7" s="41">
        <v>6</v>
      </c>
      <c r="H7" s="42">
        <v>5</v>
      </c>
    </row>
    <row r="9" spans="1:8" ht="30.7" x14ac:dyDescent="0.5">
      <c r="A9" s="1" t="s">
        <v>106</v>
      </c>
    </row>
    <row r="10" spans="1:8" ht="18.350000000000001" x14ac:dyDescent="0.65">
      <c r="F10" s="47" t="s">
        <v>98</v>
      </c>
      <c r="G10" s="47" t="s">
        <v>99</v>
      </c>
    </row>
    <row r="11" spans="1:8" ht="20.7" x14ac:dyDescent="0.7">
      <c r="A11" s="43" t="s">
        <v>103</v>
      </c>
      <c r="B11" s="43">
        <f>(G3-$G$2)^2+(H3-$H$2)^2</f>
        <v>1</v>
      </c>
      <c r="C11" s="43">
        <f>SQRT(B11)</f>
        <v>1</v>
      </c>
      <c r="F11" s="44" t="s">
        <v>9</v>
      </c>
      <c r="G11" s="44" t="s">
        <v>14</v>
      </c>
    </row>
    <row r="12" spans="1:8" ht="20.7" x14ac:dyDescent="0.7">
      <c r="A12" s="43" t="s">
        <v>104</v>
      </c>
      <c r="B12" s="43">
        <f t="shared" ref="B12:B14" si="0">(G4-$G$2)^2+(H4-$H$2)^2</f>
        <v>1</v>
      </c>
      <c r="C12" s="43">
        <f t="shared" ref="C12:C19" si="1">SQRT(B12)</f>
        <v>1</v>
      </c>
      <c r="F12" s="44" t="s">
        <v>10</v>
      </c>
      <c r="G12" s="44" t="s">
        <v>12</v>
      </c>
    </row>
    <row r="13" spans="1:8" ht="20.7" x14ac:dyDescent="0.7">
      <c r="A13" s="43" t="s">
        <v>109</v>
      </c>
      <c r="B13" s="43">
        <f t="shared" si="0"/>
        <v>25</v>
      </c>
      <c r="C13" s="43">
        <f t="shared" si="1"/>
        <v>5</v>
      </c>
      <c r="F13" s="44" t="s">
        <v>11</v>
      </c>
      <c r="G13" s="44" t="s">
        <v>13</v>
      </c>
    </row>
    <row r="14" spans="1:8" ht="20.7" x14ac:dyDescent="0.7">
      <c r="A14" s="43" t="s">
        <v>105</v>
      </c>
      <c r="B14" s="43">
        <f t="shared" si="0"/>
        <v>32</v>
      </c>
      <c r="C14" s="43">
        <f t="shared" si="1"/>
        <v>5.6568542494923806</v>
      </c>
      <c r="D14" s="45"/>
      <c r="E14" s="45"/>
    </row>
    <row r="15" spans="1:8" ht="20.7" x14ac:dyDescent="0.7">
      <c r="A15" s="48"/>
      <c r="B15" s="49"/>
      <c r="C15" s="50"/>
      <c r="D15" s="46"/>
      <c r="E15" s="46"/>
      <c r="F15" s="45" t="s">
        <v>6</v>
      </c>
      <c r="G15" s="45" t="s">
        <v>7</v>
      </c>
    </row>
    <row r="16" spans="1:8" ht="20.7" x14ac:dyDescent="0.7">
      <c r="A16" s="43" t="s">
        <v>107</v>
      </c>
      <c r="B16" s="43">
        <f>(G3-$G$7)^2+(H3-$H$7)^2</f>
        <v>32</v>
      </c>
      <c r="C16" s="43">
        <f t="shared" si="1"/>
        <v>5.6568542494923806</v>
      </c>
      <c r="D16" s="46"/>
      <c r="E16" s="46" t="s">
        <v>112</v>
      </c>
      <c r="F16" s="46">
        <f>AVERAGE(G2,G3,G4)</f>
        <v>1.3333333333333333</v>
      </c>
      <c r="G16" s="46">
        <f>AVERAGE(H2,H3,H4)</f>
        <v>1.3333333333333333</v>
      </c>
    </row>
    <row r="17" spans="1:7" ht="20.7" x14ac:dyDescent="0.7">
      <c r="A17" s="43" t="s">
        <v>108</v>
      </c>
      <c r="B17" s="43">
        <f t="shared" ref="B17:B19" si="2">(G4-$G$7)^2+(H4-$H$7)^2</f>
        <v>34</v>
      </c>
      <c r="C17" s="43">
        <f t="shared" si="1"/>
        <v>5.8309518948453007</v>
      </c>
      <c r="D17" s="46"/>
      <c r="E17" s="46" t="s">
        <v>113</v>
      </c>
      <c r="F17" s="46">
        <f>AVERAGE(G5,G6,G7)</f>
        <v>5.333333333333333</v>
      </c>
      <c r="G17" s="46">
        <f>AVERAGE(H5,H6,H7)</f>
        <v>4.666666666666667</v>
      </c>
    </row>
    <row r="18" spans="1:7" ht="20.7" x14ac:dyDescent="0.7">
      <c r="A18" s="43" t="s">
        <v>110</v>
      </c>
      <c r="B18" s="43">
        <f t="shared" si="2"/>
        <v>2</v>
      </c>
      <c r="C18" s="43">
        <f t="shared" si="1"/>
        <v>1.4142135623730951</v>
      </c>
      <c r="D18" s="46"/>
      <c r="E18" s="46"/>
    </row>
    <row r="19" spans="1:7" ht="20.7" x14ac:dyDescent="0.7">
      <c r="A19" s="43" t="s">
        <v>111</v>
      </c>
      <c r="B19" s="43">
        <f t="shared" si="2"/>
        <v>1</v>
      </c>
      <c r="C19" s="43">
        <f t="shared" si="1"/>
        <v>1</v>
      </c>
      <c r="D19" s="46"/>
      <c r="E19" s="46"/>
    </row>
    <row r="20" spans="1:7" ht="20.7" x14ac:dyDescent="0.7">
      <c r="A20" s="46"/>
      <c r="B20" s="46"/>
      <c r="C20" s="46"/>
      <c r="D20" s="46"/>
      <c r="E20" s="46"/>
    </row>
  </sheetData>
  <mergeCells count="1">
    <mergeCell ref="A15:C15"/>
  </mergeCells>
  <phoneticPr fontId="22" type="noConversion"/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DC850A-08C2-4BA1-99EB-3A6FA0D4E8C7}">
  <dimension ref="A1:K61"/>
  <sheetViews>
    <sheetView tabSelected="1" topLeftCell="A41" zoomScale="60" zoomScaleNormal="60" workbookViewId="0">
      <selection activeCell="C58" sqref="C58"/>
    </sheetView>
  </sheetViews>
  <sheetFormatPr defaultRowHeight="14.35" x14ac:dyDescent="0.5"/>
  <cols>
    <col min="2" max="2" width="16.234375" customWidth="1"/>
    <col min="3" max="3" width="14.29296875" customWidth="1"/>
    <col min="4" max="4" width="13.29296875" customWidth="1"/>
  </cols>
  <sheetData>
    <row r="1" spans="1:4" ht="15.35" x14ac:dyDescent="0.5">
      <c r="A1" s="14" t="s">
        <v>88</v>
      </c>
    </row>
    <row r="2" spans="1:4" ht="15" x14ac:dyDescent="0.5">
      <c r="A2" s="15"/>
    </row>
    <row r="3" spans="1:4" ht="15" x14ac:dyDescent="0.5">
      <c r="A3" s="15" t="s">
        <v>89</v>
      </c>
    </row>
    <row r="4" spans="1:4" ht="15" x14ac:dyDescent="0.5">
      <c r="A4" s="16" t="s">
        <v>90</v>
      </c>
    </row>
    <row r="5" spans="1:4" ht="15" x14ac:dyDescent="0.5">
      <c r="A5" s="16" t="s">
        <v>91</v>
      </c>
    </row>
    <row r="6" spans="1:4" ht="15" x14ac:dyDescent="0.5">
      <c r="A6" s="16" t="s">
        <v>92</v>
      </c>
    </row>
    <row r="7" spans="1:4" ht="15" x14ac:dyDescent="0.5">
      <c r="A7" s="16" t="s">
        <v>93</v>
      </c>
    </row>
    <row r="8" spans="1:4" ht="15" x14ac:dyDescent="0.5">
      <c r="A8" s="15"/>
    </row>
    <row r="9" spans="1:4" ht="15" x14ac:dyDescent="0.5">
      <c r="A9" s="15" t="s">
        <v>94</v>
      </c>
    </row>
    <row r="11" spans="1:4" ht="61.7" thickBot="1" x14ac:dyDescent="0.55000000000000004">
      <c r="A11" s="17"/>
      <c r="B11" s="25" t="s">
        <v>87</v>
      </c>
      <c r="C11" s="26" t="s">
        <v>6</v>
      </c>
      <c r="D11" s="27" t="s">
        <v>7</v>
      </c>
    </row>
    <row r="12" spans="1:4" ht="31.35" thickTop="1" thickBot="1" x14ac:dyDescent="0.55000000000000004">
      <c r="A12" s="18"/>
      <c r="B12" s="21" t="s">
        <v>9</v>
      </c>
      <c r="C12" s="7">
        <v>1</v>
      </c>
      <c r="D12" s="23">
        <v>1</v>
      </c>
    </row>
    <row r="13" spans="1:4" ht="31" thickBot="1" x14ac:dyDescent="0.55000000000000004">
      <c r="A13" s="19"/>
      <c r="B13" s="22" t="s">
        <v>10</v>
      </c>
      <c r="C13" s="8">
        <v>1</v>
      </c>
      <c r="D13" s="24">
        <v>4</v>
      </c>
    </row>
    <row r="14" spans="1:4" ht="31" thickBot="1" x14ac:dyDescent="0.55000000000000004">
      <c r="A14" s="19"/>
      <c r="B14" s="22" t="s">
        <v>11</v>
      </c>
      <c r="C14" s="8">
        <v>3</v>
      </c>
      <c r="D14" s="24">
        <v>2</v>
      </c>
    </row>
    <row r="15" spans="1:4" ht="31" thickBot="1" x14ac:dyDescent="0.55000000000000004">
      <c r="A15" s="18"/>
      <c r="B15" s="22" t="s">
        <v>12</v>
      </c>
      <c r="C15" s="8">
        <v>2</v>
      </c>
      <c r="D15" s="24">
        <v>2</v>
      </c>
    </row>
    <row r="16" spans="1:4" ht="31" thickBot="1" x14ac:dyDescent="0.55000000000000004">
      <c r="A16" s="18"/>
      <c r="B16" s="22" t="s">
        <v>13</v>
      </c>
      <c r="C16" s="8">
        <v>1</v>
      </c>
      <c r="D16" s="24">
        <v>3</v>
      </c>
    </row>
    <row r="17" spans="1:11" ht="30.7" x14ac:dyDescent="0.5">
      <c r="B17" s="28" t="s">
        <v>14</v>
      </c>
      <c r="C17" s="29">
        <v>2</v>
      </c>
      <c r="D17" s="30">
        <v>1</v>
      </c>
    </row>
    <row r="18" spans="1:11" ht="15.35" x14ac:dyDescent="0.5">
      <c r="A18" s="19"/>
    </row>
    <row r="19" spans="1:11" ht="15.35" x14ac:dyDescent="0.5">
      <c r="A19" s="19"/>
    </row>
    <row r="20" spans="1:11" ht="20" x14ac:dyDescent="0.5">
      <c r="A20" s="54" t="s">
        <v>95</v>
      </c>
      <c r="B20" s="54"/>
      <c r="C20" s="54"/>
      <c r="D20" s="54"/>
      <c r="E20" s="54"/>
      <c r="F20" s="54"/>
      <c r="G20" s="54"/>
      <c r="H20" s="54"/>
    </row>
    <row r="21" spans="1:11" ht="24" x14ac:dyDescent="0.85">
      <c r="A21" s="31" t="s">
        <v>96</v>
      </c>
      <c r="B21" s="31"/>
      <c r="C21" s="31"/>
      <c r="D21" s="31"/>
      <c r="E21" s="31"/>
      <c r="F21" s="31"/>
      <c r="G21" s="31"/>
      <c r="H21" s="31"/>
      <c r="I21" s="20"/>
      <c r="J21" s="20"/>
      <c r="K21" s="20"/>
    </row>
    <row r="22" spans="1:11" ht="24" x14ac:dyDescent="0.85">
      <c r="A22" s="31"/>
      <c r="B22" s="31"/>
      <c r="C22" s="31"/>
      <c r="D22" s="31"/>
      <c r="E22" s="31"/>
      <c r="F22" s="31"/>
      <c r="G22" s="31"/>
      <c r="H22" s="31"/>
      <c r="I22" s="20"/>
      <c r="J22" s="20"/>
      <c r="K22" s="20"/>
    </row>
    <row r="23" spans="1:11" ht="24" x14ac:dyDescent="0.85">
      <c r="A23" s="31" t="s">
        <v>97</v>
      </c>
      <c r="B23" s="31"/>
      <c r="C23" s="31"/>
      <c r="D23" s="32"/>
      <c r="E23" s="32"/>
      <c r="F23" s="32"/>
      <c r="G23" s="31"/>
      <c r="H23" s="31"/>
      <c r="I23" s="20"/>
      <c r="J23" s="20"/>
      <c r="K23" s="20"/>
    </row>
    <row r="24" spans="1:11" ht="24" x14ac:dyDescent="0.85">
      <c r="A24" s="31"/>
      <c r="B24" s="31"/>
      <c r="C24" s="31"/>
      <c r="D24" s="2"/>
      <c r="E24" s="2" t="s">
        <v>6</v>
      </c>
      <c r="F24" s="2" t="s">
        <v>7</v>
      </c>
      <c r="G24" s="31"/>
      <c r="H24" s="31"/>
      <c r="I24" s="20"/>
      <c r="J24" s="20"/>
      <c r="K24" s="20"/>
    </row>
    <row r="25" spans="1:11" ht="24" x14ac:dyDescent="0.85">
      <c r="A25" s="31"/>
      <c r="B25" s="31"/>
      <c r="C25" s="31"/>
      <c r="D25" s="2" t="s">
        <v>98</v>
      </c>
      <c r="E25" s="2">
        <v>1</v>
      </c>
      <c r="F25" s="2">
        <v>1</v>
      </c>
      <c r="G25" s="31"/>
      <c r="H25" s="31"/>
      <c r="I25" s="20"/>
      <c r="J25" s="20"/>
      <c r="K25" s="20"/>
    </row>
    <row r="26" spans="1:11" ht="24" x14ac:dyDescent="0.85">
      <c r="A26" s="31"/>
      <c r="B26" s="31"/>
      <c r="C26" s="31"/>
      <c r="D26" s="2" t="s">
        <v>99</v>
      </c>
      <c r="E26" s="2">
        <v>2</v>
      </c>
      <c r="F26" s="2">
        <v>1</v>
      </c>
      <c r="G26" s="31"/>
      <c r="H26" s="31"/>
      <c r="I26" s="20"/>
      <c r="J26" s="20"/>
      <c r="K26" s="20"/>
    </row>
    <row r="27" spans="1:11" ht="24" x14ac:dyDescent="0.85">
      <c r="A27" s="31"/>
      <c r="B27" s="31"/>
      <c r="C27" s="32"/>
      <c r="D27" s="32"/>
      <c r="E27" s="32"/>
      <c r="F27" s="31"/>
      <c r="G27" s="31"/>
      <c r="H27" s="31"/>
      <c r="I27" s="20"/>
      <c r="J27" s="20"/>
      <c r="K27" s="20"/>
    </row>
    <row r="28" spans="1:11" ht="24" x14ac:dyDescent="0.85">
      <c r="A28" s="2" t="s">
        <v>87</v>
      </c>
      <c r="B28" s="2"/>
      <c r="C28" s="2" t="s">
        <v>100</v>
      </c>
      <c r="D28" s="31"/>
      <c r="E28" s="33" t="s">
        <v>98</v>
      </c>
      <c r="F28" s="34" t="s">
        <v>99</v>
      </c>
      <c r="G28" s="31"/>
      <c r="H28" s="31"/>
      <c r="I28" s="20"/>
      <c r="J28" s="20"/>
      <c r="K28" s="20"/>
    </row>
    <row r="29" spans="1:11" ht="24" x14ac:dyDescent="0.85">
      <c r="A29" s="51" t="s">
        <v>9</v>
      </c>
      <c r="B29" s="2" t="s">
        <v>10</v>
      </c>
      <c r="C29" s="2">
        <f>SQRT(($E$25-C13)*($E$25-C13)+($F$25-D13)*($F$25-D13))</f>
        <v>3</v>
      </c>
      <c r="D29" s="31"/>
      <c r="E29" s="35" t="s">
        <v>9</v>
      </c>
      <c r="F29" s="35" t="s">
        <v>14</v>
      </c>
      <c r="G29" s="31"/>
      <c r="H29" s="31"/>
      <c r="I29" s="20"/>
      <c r="J29" s="20"/>
      <c r="K29" s="20"/>
    </row>
    <row r="30" spans="1:11" ht="24" x14ac:dyDescent="0.85">
      <c r="A30" s="52"/>
      <c r="B30" s="2" t="s">
        <v>11</v>
      </c>
      <c r="C30" s="2">
        <f t="shared" ref="C30:C32" si="0">SQRT(($E$25-C14)*($E$25-C14)+($F$25-D14)*($F$25-D14))</f>
        <v>2.2360679774997898</v>
      </c>
      <c r="D30" s="31"/>
      <c r="E30" s="35" t="s">
        <v>10</v>
      </c>
      <c r="F30" s="35" t="s">
        <v>11</v>
      </c>
      <c r="G30" s="31"/>
      <c r="H30" s="31"/>
      <c r="I30" s="20"/>
      <c r="J30" s="20"/>
      <c r="K30" s="20"/>
    </row>
    <row r="31" spans="1:11" ht="24" x14ac:dyDescent="0.85">
      <c r="A31" s="52"/>
      <c r="B31" s="2" t="s">
        <v>12</v>
      </c>
      <c r="C31" s="2">
        <f t="shared" si="0"/>
        <v>1.4142135623730951</v>
      </c>
      <c r="D31" s="31"/>
      <c r="E31" s="35" t="s">
        <v>13</v>
      </c>
      <c r="F31" s="35" t="s">
        <v>12</v>
      </c>
      <c r="G31" s="31"/>
      <c r="H31" s="31"/>
      <c r="I31" s="20"/>
      <c r="J31" s="20"/>
      <c r="K31" s="20"/>
    </row>
    <row r="32" spans="1:11" ht="24" x14ac:dyDescent="0.85">
      <c r="A32" s="53"/>
      <c r="B32" s="2" t="s">
        <v>13</v>
      </c>
      <c r="C32" s="2">
        <f t="shared" si="0"/>
        <v>2</v>
      </c>
      <c r="D32" s="31"/>
      <c r="E32" s="32"/>
      <c r="F32" s="32"/>
      <c r="G32" s="31"/>
      <c r="H32" s="31"/>
      <c r="I32" s="20"/>
      <c r="J32" s="20"/>
      <c r="K32" s="20"/>
    </row>
    <row r="33" spans="1:11" ht="24" x14ac:dyDescent="0.85">
      <c r="A33" s="51" t="s">
        <v>14</v>
      </c>
      <c r="B33" s="2" t="s">
        <v>10</v>
      </c>
      <c r="C33" s="2">
        <f>SQRT(($E$26-C13)*($E$26-C13)+($F$26-D13)*($F$26-D13))</f>
        <v>3.1622776601683795</v>
      </c>
      <c r="D33" s="31"/>
      <c r="E33" s="36" t="s">
        <v>101</v>
      </c>
      <c r="F33" s="31"/>
      <c r="G33" s="31"/>
      <c r="H33" s="31"/>
      <c r="I33" s="20"/>
      <c r="J33" s="20"/>
      <c r="K33" s="20"/>
    </row>
    <row r="34" spans="1:11" ht="24" x14ac:dyDescent="0.85">
      <c r="A34" s="52"/>
      <c r="B34" s="2" t="s">
        <v>11</v>
      </c>
      <c r="C34" s="2">
        <f t="shared" ref="C34:C36" si="1">SQRT(($E$26-C14)*($E$26-C14)+($F$26-D14)*($F$26-D14))</f>
        <v>1.4142135623730951</v>
      </c>
      <c r="D34" s="31"/>
      <c r="E34" s="2"/>
      <c r="F34" s="2" t="s">
        <v>6</v>
      </c>
      <c r="G34" s="2" t="s">
        <v>7</v>
      </c>
      <c r="H34" s="31"/>
      <c r="I34" s="20"/>
      <c r="J34" s="20"/>
      <c r="K34" s="20"/>
    </row>
    <row r="35" spans="1:11" ht="24" x14ac:dyDescent="0.85">
      <c r="A35" s="52"/>
      <c r="B35" s="2" t="s">
        <v>12</v>
      </c>
      <c r="C35" s="2">
        <f t="shared" si="1"/>
        <v>1</v>
      </c>
      <c r="D35" s="31"/>
      <c r="E35" s="2" t="s">
        <v>98</v>
      </c>
      <c r="F35" s="2">
        <f>AVERAGE(C12,C13,C16)</f>
        <v>1</v>
      </c>
      <c r="G35" s="2">
        <f>AVERAGE(D12,D13,D16)</f>
        <v>2.6666666666666665</v>
      </c>
      <c r="H35" s="31"/>
      <c r="I35" s="20"/>
      <c r="J35" s="20"/>
      <c r="K35" s="20"/>
    </row>
    <row r="36" spans="1:11" ht="24" x14ac:dyDescent="0.85">
      <c r="A36" s="53"/>
      <c r="B36" s="2" t="s">
        <v>13</v>
      </c>
      <c r="C36" s="2">
        <f t="shared" si="1"/>
        <v>2.2360679774997898</v>
      </c>
      <c r="D36" s="31"/>
      <c r="E36" s="2" t="s">
        <v>99</v>
      </c>
      <c r="F36" s="2">
        <f>AVERAGE(C14,C15,C17)</f>
        <v>2.3333333333333335</v>
      </c>
      <c r="G36" s="2">
        <f>AVERAGE(D14,D15,D17)</f>
        <v>1.6666666666666667</v>
      </c>
      <c r="H36" s="31"/>
      <c r="I36" s="20"/>
      <c r="J36" s="20"/>
      <c r="K36" s="20"/>
    </row>
    <row r="37" spans="1:11" ht="24" x14ac:dyDescent="0.85">
      <c r="A37" s="31"/>
      <c r="B37" s="31"/>
      <c r="C37" s="31"/>
      <c r="D37" s="31"/>
      <c r="E37" s="31"/>
      <c r="F37" s="31"/>
      <c r="G37" s="31"/>
      <c r="H37" s="31"/>
      <c r="I37" s="20"/>
      <c r="J37" s="20"/>
      <c r="K37" s="20"/>
    </row>
    <row r="38" spans="1:11" ht="24" x14ac:dyDescent="0.85">
      <c r="A38" s="31" t="s">
        <v>102</v>
      </c>
      <c r="B38" s="31"/>
      <c r="C38" s="31"/>
      <c r="D38" s="32"/>
      <c r="E38" s="32"/>
      <c r="F38" s="32"/>
      <c r="G38" s="31"/>
      <c r="H38" s="31"/>
      <c r="I38" s="20"/>
      <c r="J38" s="20"/>
      <c r="K38" s="20"/>
    </row>
    <row r="39" spans="1:11" ht="24" x14ac:dyDescent="0.85">
      <c r="A39" s="31"/>
      <c r="B39" s="31"/>
      <c r="C39" s="31"/>
      <c r="D39" s="2"/>
      <c r="E39" s="2" t="s">
        <v>6</v>
      </c>
      <c r="F39" s="2" t="s">
        <v>7</v>
      </c>
      <c r="G39" s="31"/>
      <c r="H39" s="31"/>
      <c r="I39" s="20"/>
      <c r="J39" s="20"/>
      <c r="K39" s="20"/>
    </row>
    <row r="40" spans="1:11" ht="24" x14ac:dyDescent="0.85">
      <c r="A40" s="31"/>
      <c r="B40" s="31"/>
      <c r="C40" s="31"/>
      <c r="D40" s="2" t="s">
        <v>98</v>
      </c>
      <c r="E40" s="2">
        <f>F35</f>
        <v>1</v>
      </c>
      <c r="F40" s="2">
        <f>G35</f>
        <v>2.6666666666666665</v>
      </c>
      <c r="G40" s="31"/>
      <c r="H40" s="31"/>
      <c r="I40" s="20"/>
      <c r="J40" s="20"/>
      <c r="K40" s="20"/>
    </row>
    <row r="41" spans="1:11" ht="24" x14ac:dyDescent="0.85">
      <c r="A41" s="31"/>
      <c r="B41" s="31"/>
      <c r="C41" s="31"/>
      <c r="D41" s="2" t="s">
        <v>99</v>
      </c>
      <c r="E41" s="2">
        <f>F36</f>
        <v>2.3333333333333335</v>
      </c>
      <c r="F41" s="2">
        <f>G36</f>
        <v>1.6666666666666667</v>
      </c>
      <c r="G41" s="31"/>
      <c r="H41" s="31"/>
      <c r="I41" s="20"/>
      <c r="J41" s="20"/>
      <c r="K41" s="20"/>
    </row>
    <row r="42" spans="1:11" ht="24" x14ac:dyDescent="0.85">
      <c r="A42" s="31"/>
      <c r="B42" s="31"/>
      <c r="C42" s="32"/>
      <c r="D42" s="32"/>
      <c r="E42" s="32"/>
      <c r="F42" s="31"/>
      <c r="G42" s="31"/>
      <c r="H42" s="31"/>
      <c r="I42" s="20"/>
      <c r="J42" s="20"/>
      <c r="K42" s="20"/>
    </row>
    <row r="43" spans="1:11" ht="24" x14ac:dyDescent="0.85">
      <c r="A43" s="2" t="s">
        <v>87</v>
      </c>
      <c r="B43" s="2"/>
      <c r="C43" s="2" t="s">
        <v>100</v>
      </c>
      <c r="D43" s="31"/>
      <c r="E43" s="33" t="s">
        <v>98</v>
      </c>
      <c r="F43" s="34" t="s">
        <v>99</v>
      </c>
      <c r="G43" s="31"/>
      <c r="H43" s="31"/>
      <c r="I43" s="20"/>
      <c r="J43" s="20"/>
      <c r="K43" s="20"/>
    </row>
    <row r="44" spans="1:11" ht="24" x14ac:dyDescent="0.85">
      <c r="A44" s="51" t="s">
        <v>98</v>
      </c>
      <c r="B44" s="2" t="s">
        <v>9</v>
      </c>
      <c r="C44" s="2">
        <f>SQRT(($E$40-C12)*($E$40-C12)+($F$40-D12)*($F$40-D12))</f>
        <v>1.6666666666666665</v>
      </c>
      <c r="D44" s="31"/>
      <c r="E44" s="35" t="s">
        <v>10</v>
      </c>
      <c r="F44" s="35" t="s">
        <v>9</v>
      </c>
      <c r="G44" s="31"/>
      <c r="H44" s="31"/>
      <c r="I44" s="20"/>
      <c r="J44" s="20"/>
      <c r="K44" s="20"/>
    </row>
    <row r="45" spans="1:11" ht="24" x14ac:dyDescent="0.85">
      <c r="A45" s="52"/>
      <c r="B45" s="2" t="s">
        <v>10</v>
      </c>
      <c r="C45" s="2">
        <f>SQRT(($E$40-C13)*($E$40-C13)+($F$40-D13)*($F$40-D13))</f>
        <v>1.3333333333333335</v>
      </c>
      <c r="D45" s="31"/>
      <c r="E45" s="35" t="s">
        <v>13</v>
      </c>
      <c r="F45" s="35" t="s">
        <v>11</v>
      </c>
      <c r="G45" s="31"/>
      <c r="H45" s="31"/>
      <c r="I45" s="20"/>
      <c r="J45" s="20"/>
      <c r="K45" s="20"/>
    </row>
    <row r="46" spans="1:11" ht="24" x14ac:dyDescent="0.85">
      <c r="A46" s="52"/>
      <c r="B46" s="2" t="s">
        <v>11</v>
      </c>
      <c r="C46" s="2">
        <f t="shared" ref="C46:C49" si="2">SQRT(($E$40-C14)*($E$40-C14)+($F$40-D14)*($F$40-D14))</f>
        <v>2.1081851067789197</v>
      </c>
      <c r="D46" s="31"/>
      <c r="E46" s="35"/>
      <c r="F46" s="35" t="s">
        <v>12</v>
      </c>
      <c r="G46" s="31"/>
      <c r="H46" s="31"/>
    </row>
    <row r="47" spans="1:11" ht="24" x14ac:dyDescent="0.85">
      <c r="A47" s="52"/>
      <c r="B47" s="2" t="s">
        <v>12</v>
      </c>
      <c r="C47" s="2">
        <f t="shared" si="2"/>
        <v>1.2018504251546629</v>
      </c>
      <c r="D47" s="31"/>
      <c r="E47" s="35"/>
      <c r="F47" s="35" t="s">
        <v>14</v>
      </c>
      <c r="G47" s="31"/>
      <c r="H47" s="31"/>
    </row>
    <row r="48" spans="1:11" ht="24" x14ac:dyDescent="0.85">
      <c r="A48" s="52"/>
      <c r="B48" s="2" t="s">
        <v>13</v>
      </c>
      <c r="C48" s="2">
        <f t="shared" si="2"/>
        <v>0.33333333333333348</v>
      </c>
      <c r="D48" s="31"/>
      <c r="E48" s="32"/>
      <c r="F48" s="32"/>
      <c r="G48" s="31"/>
      <c r="H48" s="31"/>
    </row>
    <row r="49" spans="1:8" ht="24" x14ac:dyDescent="0.85">
      <c r="A49" s="53"/>
      <c r="B49" s="2" t="s">
        <v>14</v>
      </c>
      <c r="C49" s="2">
        <f t="shared" si="2"/>
        <v>1.9436506316151001</v>
      </c>
      <c r="D49" s="31"/>
      <c r="E49" s="36" t="s">
        <v>101</v>
      </c>
      <c r="F49" s="31"/>
      <c r="G49" s="31"/>
      <c r="H49" s="31"/>
    </row>
    <row r="50" spans="1:8" ht="24" x14ac:dyDescent="0.85">
      <c r="A50" s="51" t="s">
        <v>99</v>
      </c>
      <c r="B50" s="2" t="s">
        <v>9</v>
      </c>
      <c r="C50" s="2">
        <f>SQRT(($E$41-C12)*($E$41-C12)+($F$41-D12)*($F$41-D12))</f>
        <v>1.49071198499986</v>
      </c>
      <c r="D50" s="31"/>
      <c r="E50" s="2"/>
      <c r="F50" s="2" t="s">
        <v>6</v>
      </c>
      <c r="G50" s="2" t="s">
        <v>7</v>
      </c>
      <c r="H50" s="31"/>
    </row>
    <row r="51" spans="1:8" ht="24" x14ac:dyDescent="0.85">
      <c r="A51" s="52"/>
      <c r="B51" s="2" t="s">
        <v>10</v>
      </c>
      <c r="C51" s="2">
        <f t="shared" ref="C51:C55" si="3">SQRT(($E$41-C13)*($E$41-C13)+($F$41-D13)*($F$41-D13))</f>
        <v>2.6874192494328497</v>
      </c>
      <c r="D51" s="31"/>
      <c r="E51" s="2" t="s">
        <v>98</v>
      </c>
      <c r="F51" s="2">
        <f>AVERAGE(C13,C16)</f>
        <v>1</v>
      </c>
      <c r="G51" s="2">
        <f>AVERAGE(D13,D16)</f>
        <v>3.5</v>
      </c>
      <c r="H51" s="31"/>
    </row>
    <row r="52" spans="1:8" ht="24" x14ac:dyDescent="0.85">
      <c r="A52" s="52"/>
      <c r="B52" s="2" t="s">
        <v>11</v>
      </c>
      <c r="C52" s="2">
        <f t="shared" si="3"/>
        <v>0.74535599249992979</v>
      </c>
      <c r="D52" s="31"/>
      <c r="E52" s="2" t="s">
        <v>99</v>
      </c>
      <c r="F52" s="2">
        <f>AVERAGE(C12,C14,C15,C17)</f>
        <v>2</v>
      </c>
      <c r="G52" s="2">
        <f>AVERAGE(D12,D14,D15,D17)</f>
        <v>1.5</v>
      </c>
      <c r="H52" s="31"/>
    </row>
    <row r="53" spans="1:8" ht="24" x14ac:dyDescent="0.85">
      <c r="A53" s="52"/>
      <c r="B53" s="2" t="s">
        <v>12</v>
      </c>
      <c r="C53" s="2">
        <f t="shared" si="3"/>
        <v>0.47140452079103173</v>
      </c>
      <c r="D53" s="31"/>
      <c r="E53" s="31"/>
      <c r="F53" s="31"/>
      <c r="G53" s="31"/>
      <c r="H53" s="31"/>
    </row>
    <row r="54" spans="1:8" ht="24" x14ac:dyDescent="0.85">
      <c r="A54" s="52"/>
      <c r="B54" s="2" t="s">
        <v>13</v>
      </c>
      <c r="C54" s="2">
        <f t="shared" si="3"/>
        <v>1.8856180831641267</v>
      </c>
      <c r="D54" s="31"/>
      <c r="E54" s="31"/>
      <c r="F54" s="31"/>
      <c r="G54" s="31"/>
      <c r="H54" s="31"/>
    </row>
    <row r="55" spans="1:8" ht="24" x14ac:dyDescent="0.85">
      <c r="A55" s="53"/>
      <c r="B55" s="2" t="s">
        <v>14</v>
      </c>
      <c r="C55" s="2">
        <f t="shared" si="3"/>
        <v>0.74535599249993001</v>
      </c>
      <c r="D55" s="31"/>
      <c r="E55" s="31"/>
      <c r="F55" s="31"/>
      <c r="G55" s="31"/>
      <c r="H55" s="31"/>
    </row>
    <row r="56" spans="1:8" ht="24" x14ac:dyDescent="0.85">
      <c r="A56" s="31"/>
      <c r="B56" s="31"/>
      <c r="C56" s="31"/>
      <c r="D56" s="31"/>
      <c r="E56" s="31"/>
      <c r="F56" s="31"/>
      <c r="G56" s="31"/>
      <c r="H56" s="31"/>
    </row>
    <row r="57" spans="1:8" ht="24" x14ac:dyDescent="0.85">
      <c r="A57" s="31"/>
      <c r="B57" s="31"/>
      <c r="C57" s="31"/>
      <c r="D57" s="31"/>
      <c r="E57" s="31"/>
      <c r="F57" s="31"/>
      <c r="G57" s="31"/>
      <c r="H57" s="31"/>
    </row>
    <row r="58" spans="1:8" ht="24" x14ac:dyDescent="0.85">
      <c r="A58" s="31"/>
      <c r="B58" s="31"/>
      <c r="C58" s="31"/>
      <c r="D58" s="31"/>
      <c r="E58" s="31"/>
      <c r="F58" s="31"/>
      <c r="G58" s="31"/>
      <c r="H58" s="31"/>
    </row>
    <row r="59" spans="1:8" ht="24" x14ac:dyDescent="0.85">
      <c r="A59" s="31"/>
      <c r="B59" s="31"/>
      <c r="C59" s="31"/>
      <c r="D59" s="31"/>
      <c r="E59" s="31"/>
      <c r="F59" s="31"/>
      <c r="G59" s="31"/>
      <c r="H59" s="31"/>
    </row>
    <row r="60" spans="1:8" ht="24" x14ac:dyDescent="0.85">
      <c r="A60" s="31"/>
      <c r="B60" s="31"/>
      <c r="C60" s="31"/>
      <c r="D60" s="31"/>
      <c r="E60" s="31"/>
      <c r="F60" s="31"/>
      <c r="G60" s="31"/>
      <c r="H60" s="31"/>
    </row>
    <row r="61" spans="1:8" ht="24" x14ac:dyDescent="0.85">
      <c r="A61" s="31"/>
      <c r="B61" s="31"/>
      <c r="C61" s="31"/>
      <c r="D61" s="31"/>
      <c r="E61" s="31"/>
      <c r="F61" s="31"/>
      <c r="G61" s="31"/>
      <c r="H61" s="31"/>
    </row>
  </sheetData>
  <mergeCells count="5">
    <mergeCell ref="A29:A32"/>
    <mergeCell ref="A33:A36"/>
    <mergeCell ref="A44:A49"/>
    <mergeCell ref="A50:A55"/>
    <mergeCell ref="A20:H20"/>
  </mergeCells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0C23C8-5FCC-46EF-8198-A074C675775D}">
  <dimension ref="A1:H12"/>
  <sheetViews>
    <sheetView topLeftCell="A2" workbookViewId="0">
      <selection activeCell="N17" sqref="N17"/>
    </sheetView>
  </sheetViews>
  <sheetFormatPr defaultRowHeight="14.35" x14ac:dyDescent="0.5"/>
  <cols>
    <col min="1" max="1" width="11.87890625" customWidth="1"/>
    <col min="3" max="3" width="15.41015625" customWidth="1"/>
  </cols>
  <sheetData>
    <row r="1" spans="1:8" x14ac:dyDescent="0.5">
      <c r="A1" s="57" t="s">
        <v>25</v>
      </c>
      <c r="B1" s="57"/>
      <c r="C1" s="57"/>
      <c r="D1" s="57"/>
      <c r="E1" s="57"/>
      <c r="F1" s="57"/>
      <c r="G1" s="57"/>
      <c r="H1" s="57"/>
    </row>
    <row r="2" spans="1:8" ht="181.5" customHeight="1" x14ac:dyDescent="0.5">
      <c r="A2" s="55" t="s">
        <v>26</v>
      </c>
      <c r="B2" s="56"/>
      <c r="C2" s="56"/>
      <c r="D2" s="56"/>
      <c r="E2" s="56"/>
      <c r="F2" s="56"/>
      <c r="G2" s="56"/>
      <c r="H2" s="56"/>
    </row>
    <row r="4" spans="1:8" x14ac:dyDescent="0.5">
      <c r="A4" s="3" t="s">
        <v>8</v>
      </c>
      <c r="B4" s="3" t="s">
        <v>15</v>
      </c>
      <c r="C4" s="3" t="s">
        <v>16</v>
      </c>
    </row>
    <row r="5" spans="1:8" x14ac:dyDescent="0.5">
      <c r="A5" s="5" t="s">
        <v>17</v>
      </c>
      <c r="B5" s="5">
        <v>50</v>
      </c>
      <c r="C5" s="5">
        <v>2</v>
      </c>
    </row>
    <row r="6" spans="1:8" x14ac:dyDescent="0.5">
      <c r="A6" s="4" t="s">
        <v>18</v>
      </c>
      <c r="B6" s="4">
        <v>60</v>
      </c>
      <c r="C6" s="4">
        <v>3</v>
      </c>
    </row>
    <row r="7" spans="1:8" x14ac:dyDescent="0.5">
      <c r="A7" s="5" t="s">
        <v>19</v>
      </c>
      <c r="B7" s="5">
        <v>450</v>
      </c>
      <c r="C7" s="5">
        <v>8</v>
      </c>
    </row>
    <row r="8" spans="1:8" x14ac:dyDescent="0.5">
      <c r="A8" s="4" t="s">
        <v>20</v>
      </c>
      <c r="B8" s="4">
        <v>400</v>
      </c>
      <c r="C8" s="4">
        <v>9</v>
      </c>
    </row>
    <row r="9" spans="1:8" x14ac:dyDescent="0.5">
      <c r="A9" s="4" t="s">
        <v>21</v>
      </c>
      <c r="B9" s="4">
        <v>480</v>
      </c>
      <c r="C9" s="4">
        <v>7</v>
      </c>
    </row>
    <row r="10" spans="1:8" x14ac:dyDescent="0.5">
      <c r="A10" s="4" t="s">
        <v>22</v>
      </c>
      <c r="B10" s="4">
        <v>100</v>
      </c>
      <c r="C10" s="4">
        <v>2</v>
      </c>
    </row>
    <row r="11" spans="1:8" x14ac:dyDescent="0.5">
      <c r="A11" s="4" t="s">
        <v>23</v>
      </c>
      <c r="B11" s="4">
        <v>420</v>
      </c>
      <c r="C11" s="4">
        <v>10</v>
      </c>
    </row>
    <row r="12" spans="1:8" x14ac:dyDescent="0.5">
      <c r="A12" s="4" t="s">
        <v>24</v>
      </c>
      <c r="B12" s="4">
        <v>80</v>
      </c>
      <c r="C12" s="4">
        <v>4</v>
      </c>
    </row>
  </sheetData>
  <mergeCells count="2">
    <mergeCell ref="A2:H2"/>
    <mergeCell ref="A1:H1"/>
  </mergeCells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2FB4E2-BFC5-4D94-9EE9-49E18E894B36}">
  <dimension ref="A1:H12"/>
  <sheetViews>
    <sheetView workbookViewId="0">
      <selection activeCell="A8" sqref="A8:C8"/>
    </sheetView>
  </sheetViews>
  <sheetFormatPr defaultRowHeight="14.35" x14ac:dyDescent="0.5"/>
  <cols>
    <col min="1" max="1" width="11.87890625" customWidth="1"/>
    <col min="3" max="3" width="15.41015625" customWidth="1"/>
  </cols>
  <sheetData>
    <row r="1" spans="1:8" x14ac:dyDescent="0.5">
      <c r="A1" s="57" t="s">
        <v>28</v>
      </c>
      <c r="B1" s="57"/>
      <c r="C1" s="57"/>
      <c r="D1" s="57"/>
      <c r="E1" s="57"/>
      <c r="F1" s="57"/>
      <c r="G1" s="57"/>
      <c r="H1" s="57"/>
    </row>
    <row r="2" spans="1:8" ht="141.75" customHeight="1" x14ac:dyDescent="0.5">
      <c r="A2" s="55" t="s">
        <v>27</v>
      </c>
      <c r="B2" s="56"/>
      <c r="C2" s="56"/>
      <c r="D2" s="56"/>
      <c r="E2" s="56"/>
      <c r="F2" s="56"/>
      <c r="G2" s="56"/>
      <c r="H2" s="56"/>
    </row>
    <row r="4" spans="1:8" x14ac:dyDescent="0.5">
      <c r="A4" s="3" t="s">
        <v>12</v>
      </c>
      <c r="B4" s="3" t="s">
        <v>29</v>
      </c>
      <c r="C4" s="3" t="s">
        <v>30</v>
      </c>
    </row>
    <row r="5" spans="1:8" x14ac:dyDescent="0.5">
      <c r="A5" s="5" t="s">
        <v>31</v>
      </c>
      <c r="B5" s="5">
        <v>40</v>
      </c>
      <c r="C5" s="5">
        <v>15</v>
      </c>
    </row>
    <row r="6" spans="1:8" x14ac:dyDescent="0.5">
      <c r="A6" s="4" t="s">
        <v>32</v>
      </c>
      <c r="B6" s="4">
        <v>42</v>
      </c>
      <c r="C6" s="4">
        <v>20</v>
      </c>
    </row>
    <row r="7" spans="1:8" x14ac:dyDescent="0.5">
      <c r="A7" s="4" t="s">
        <v>33</v>
      </c>
      <c r="B7" s="4">
        <v>85</v>
      </c>
      <c r="C7" s="4">
        <v>75</v>
      </c>
    </row>
    <row r="8" spans="1:8" x14ac:dyDescent="0.5">
      <c r="A8" s="5" t="s">
        <v>34</v>
      </c>
      <c r="B8" s="5">
        <v>90</v>
      </c>
      <c r="C8" s="5">
        <v>80</v>
      </c>
    </row>
    <row r="9" spans="1:8" x14ac:dyDescent="0.5">
      <c r="A9" s="4" t="s">
        <v>35</v>
      </c>
      <c r="B9" s="4">
        <v>45</v>
      </c>
      <c r="C9" s="4">
        <v>25</v>
      </c>
    </row>
    <row r="10" spans="1:8" x14ac:dyDescent="0.5">
      <c r="A10" s="4" t="s">
        <v>36</v>
      </c>
      <c r="B10" s="4">
        <v>88</v>
      </c>
      <c r="C10" s="4">
        <v>70</v>
      </c>
    </row>
    <row r="11" spans="1:8" x14ac:dyDescent="0.5">
      <c r="A11" s="4" t="s">
        <v>37</v>
      </c>
      <c r="B11" s="4">
        <v>38</v>
      </c>
      <c r="C11" s="4">
        <v>10</v>
      </c>
    </row>
    <row r="12" spans="1:8" x14ac:dyDescent="0.5">
      <c r="A12" s="4" t="s">
        <v>38</v>
      </c>
      <c r="B12" s="4">
        <v>95</v>
      </c>
      <c r="C12" s="4">
        <v>90</v>
      </c>
    </row>
  </sheetData>
  <mergeCells count="2">
    <mergeCell ref="A1:H1"/>
    <mergeCell ref="A2:H2"/>
  </mergeCells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BD8D81-2F92-4369-9F51-940EDB297108}">
  <dimension ref="A1:H14"/>
  <sheetViews>
    <sheetView workbookViewId="0">
      <selection activeCell="A14" sqref="A14"/>
    </sheetView>
  </sheetViews>
  <sheetFormatPr defaultRowHeight="14.35" x14ac:dyDescent="0.5"/>
  <cols>
    <col min="1" max="1" width="11.87890625" customWidth="1"/>
    <col min="3" max="3" width="15.41015625" customWidth="1"/>
  </cols>
  <sheetData>
    <row r="1" spans="1:8" x14ac:dyDescent="0.5">
      <c r="A1" s="57" t="s">
        <v>40</v>
      </c>
      <c r="B1" s="57"/>
      <c r="C1" s="57"/>
      <c r="D1" s="57"/>
      <c r="E1" s="57"/>
      <c r="F1" s="57"/>
      <c r="G1" s="57"/>
      <c r="H1" s="57"/>
    </row>
    <row r="2" spans="1:8" ht="141.75" customHeight="1" x14ac:dyDescent="0.5">
      <c r="A2" s="55" t="s">
        <v>39</v>
      </c>
      <c r="B2" s="56"/>
      <c r="C2" s="56"/>
      <c r="D2" s="56"/>
      <c r="E2" s="56"/>
      <c r="F2" s="56"/>
      <c r="G2" s="56"/>
      <c r="H2" s="56"/>
    </row>
    <row r="4" spans="1:8" x14ac:dyDescent="0.5">
      <c r="A4" s="3" t="s">
        <v>8</v>
      </c>
      <c r="B4" s="3" t="s">
        <v>41</v>
      </c>
      <c r="C4" s="3" t="s">
        <v>42</v>
      </c>
    </row>
    <row r="5" spans="1:8" x14ac:dyDescent="0.5">
      <c r="A5" s="5" t="s">
        <v>43</v>
      </c>
      <c r="B5" s="5">
        <v>50</v>
      </c>
      <c r="C5" s="5">
        <v>2</v>
      </c>
    </row>
    <row r="6" spans="1:8" x14ac:dyDescent="0.5">
      <c r="A6" s="4" t="s">
        <v>44</v>
      </c>
      <c r="B6" s="4">
        <v>60</v>
      </c>
      <c r="C6" s="4">
        <v>2</v>
      </c>
    </row>
    <row r="7" spans="1:8" x14ac:dyDescent="0.5">
      <c r="A7" s="5" t="s">
        <v>45</v>
      </c>
      <c r="B7" s="5">
        <v>120</v>
      </c>
      <c r="C7" s="5">
        <v>8</v>
      </c>
    </row>
    <row r="8" spans="1:8" x14ac:dyDescent="0.5">
      <c r="A8" s="4" t="s">
        <v>46</v>
      </c>
      <c r="B8" s="4">
        <v>130</v>
      </c>
      <c r="C8" s="4">
        <v>9</v>
      </c>
    </row>
    <row r="9" spans="1:8" x14ac:dyDescent="0.5">
      <c r="A9" s="4" t="s">
        <v>47</v>
      </c>
      <c r="B9" s="4">
        <v>200</v>
      </c>
      <c r="C9" s="4">
        <v>3</v>
      </c>
    </row>
    <row r="10" spans="1:8" x14ac:dyDescent="0.5">
      <c r="A10" s="5" t="s">
        <v>48</v>
      </c>
      <c r="B10" s="5">
        <v>210</v>
      </c>
      <c r="C10" s="5">
        <v>4</v>
      </c>
    </row>
    <row r="11" spans="1:8" x14ac:dyDescent="0.5">
      <c r="A11" s="4" t="s">
        <v>49</v>
      </c>
      <c r="B11" s="4">
        <v>125</v>
      </c>
      <c r="C11" s="4">
        <v>7</v>
      </c>
    </row>
    <row r="12" spans="1:8" x14ac:dyDescent="0.5">
      <c r="A12" s="4" t="s">
        <v>50</v>
      </c>
      <c r="B12" s="4">
        <v>55</v>
      </c>
      <c r="C12" s="4">
        <v>3</v>
      </c>
    </row>
    <row r="14" spans="1:8" x14ac:dyDescent="0.5">
      <c r="A14" s="6"/>
    </row>
  </sheetData>
  <mergeCells count="2">
    <mergeCell ref="A1:H1"/>
    <mergeCell ref="A2:H2"/>
  </mergeCells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7135DD-9739-477D-A0B4-9EA79F88CD93}">
  <dimension ref="A1:H14"/>
  <sheetViews>
    <sheetView workbookViewId="0">
      <selection activeCell="A14" sqref="A14"/>
    </sheetView>
  </sheetViews>
  <sheetFormatPr defaultRowHeight="14.35" x14ac:dyDescent="0.5"/>
  <cols>
    <col min="1" max="1" width="11.87890625" customWidth="1"/>
    <col min="3" max="3" width="15.41015625" customWidth="1"/>
  </cols>
  <sheetData>
    <row r="1" spans="1:8" x14ac:dyDescent="0.5">
      <c r="A1" s="57" t="s">
        <v>52</v>
      </c>
      <c r="B1" s="57"/>
      <c r="C1" s="57"/>
      <c r="D1" s="57"/>
      <c r="E1" s="57"/>
      <c r="F1" s="57"/>
      <c r="G1" s="57"/>
      <c r="H1" s="57"/>
    </row>
    <row r="2" spans="1:8" ht="141.75" customHeight="1" x14ac:dyDescent="0.5">
      <c r="A2" s="55" t="s">
        <v>51</v>
      </c>
      <c r="B2" s="56"/>
      <c r="C2" s="56"/>
      <c r="D2" s="56"/>
      <c r="E2" s="56"/>
      <c r="F2" s="56"/>
      <c r="G2" s="56"/>
      <c r="H2" s="56"/>
    </row>
    <row r="4" spans="1:8" ht="28.7" x14ac:dyDescent="0.5">
      <c r="A4" s="3" t="s">
        <v>8</v>
      </c>
      <c r="B4" s="3" t="s">
        <v>53</v>
      </c>
      <c r="C4" s="3" t="s">
        <v>54</v>
      </c>
    </row>
    <row r="5" spans="1:8" x14ac:dyDescent="0.5">
      <c r="A5" s="5" t="s">
        <v>55</v>
      </c>
      <c r="B5" s="5">
        <v>32</v>
      </c>
      <c r="C5" s="5">
        <v>8</v>
      </c>
    </row>
    <row r="6" spans="1:8" x14ac:dyDescent="0.5">
      <c r="A6" s="4" t="s">
        <v>56</v>
      </c>
      <c r="B6" s="4">
        <v>31</v>
      </c>
      <c r="C6" s="4">
        <v>7</v>
      </c>
    </row>
    <row r="7" spans="1:8" x14ac:dyDescent="0.5">
      <c r="A7" s="4" t="s">
        <v>57</v>
      </c>
      <c r="B7" s="4">
        <v>25</v>
      </c>
      <c r="C7" s="4">
        <v>12</v>
      </c>
    </row>
    <row r="8" spans="1:8" x14ac:dyDescent="0.5">
      <c r="A8" s="4" t="s">
        <v>58</v>
      </c>
      <c r="B8" s="4">
        <v>24</v>
      </c>
      <c r="C8" s="4">
        <v>11</v>
      </c>
    </row>
    <row r="9" spans="1:8" x14ac:dyDescent="0.5">
      <c r="A9" s="4" t="s">
        <v>59</v>
      </c>
      <c r="B9" s="4">
        <v>33</v>
      </c>
      <c r="C9" s="4">
        <v>7.5</v>
      </c>
    </row>
    <row r="10" spans="1:8" x14ac:dyDescent="0.5">
      <c r="A10" s="4" t="s">
        <v>60</v>
      </c>
      <c r="B10" s="4">
        <v>26</v>
      </c>
      <c r="C10" s="4">
        <v>13</v>
      </c>
    </row>
    <row r="11" spans="1:8" x14ac:dyDescent="0.5">
      <c r="A11" s="4" t="s">
        <v>61</v>
      </c>
      <c r="B11" s="4">
        <v>30</v>
      </c>
      <c r="C11" s="4">
        <v>9</v>
      </c>
    </row>
    <row r="12" spans="1:8" x14ac:dyDescent="0.5">
      <c r="A12" s="5" t="s">
        <v>62</v>
      </c>
      <c r="B12" s="5">
        <v>23</v>
      </c>
      <c r="C12" s="5">
        <v>12.5</v>
      </c>
    </row>
    <row r="14" spans="1:8" x14ac:dyDescent="0.5">
      <c r="A14" s="6"/>
    </row>
  </sheetData>
  <mergeCells count="2">
    <mergeCell ref="A1:H1"/>
    <mergeCell ref="A2:H2"/>
  </mergeCells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027F9D-DF6F-4E9F-B916-DECD77165E9A}">
  <dimension ref="A1:H14"/>
  <sheetViews>
    <sheetView workbookViewId="0">
      <selection activeCell="A14" sqref="A14"/>
    </sheetView>
  </sheetViews>
  <sheetFormatPr defaultRowHeight="14.35" x14ac:dyDescent="0.5"/>
  <cols>
    <col min="1" max="1" width="11.87890625" customWidth="1"/>
    <col min="3" max="3" width="15.41015625" customWidth="1"/>
  </cols>
  <sheetData>
    <row r="1" spans="1:8" x14ac:dyDescent="0.5">
      <c r="A1" s="57" t="s">
        <v>64</v>
      </c>
      <c r="B1" s="57"/>
      <c r="C1" s="57"/>
      <c r="D1" s="57"/>
      <c r="E1" s="57"/>
      <c r="F1" s="57"/>
      <c r="G1" s="57"/>
      <c r="H1" s="57"/>
    </row>
    <row r="2" spans="1:8" ht="141.75" customHeight="1" x14ac:dyDescent="0.5">
      <c r="A2" s="55" t="s">
        <v>63</v>
      </c>
      <c r="B2" s="56"/>
      <c r="C2" s="56"/>
      <c r="D2" s="56"/>
      <c r="E2" s="56"/>
      <c r="F2" s="56"/>
      <c r="G2" s="56"/>
      <c r="H2" s="56"/>
    </row>
    <row r="4" spans="1:8" x14ac:dyDescent="0.5">
      <c r="A4" s="3" t="s">
        <v>8</v>
      </c>
      <c r="B4" s="3" t="s">
        <v>65</v>
      </c>
      <c r="C4" s="3" t="s">
        <v>66</v>
      </c>
    </row>
    <row r="5" spans="1:8" x14ac:dyDescent="0.5">
      <c r="A5" s="5" t="s">
        <v>67</v>
      </c>
      <c r="B5" s="5">
        <v>30</v>
      </c>
      <c r="C5" s="5">
        <v>5</v>
      </c>
    </row>
    <row r="6" spans="1:8" x14ac:dyDescent="0.5">
      <c r="A6" s="4" t="s">
        <v>68</v>
      </c>
      <c r="B6" s="4">
        <v>35</v>
      </c>
      <c r="C6" s="4">
        <v>10</v>
      </c>
    </row>
    <row r="7" spans="1:8" x14ac:dyDescent="0.5">
      <c r="A7" s="5" t="s">
        <v>69</v>
      </c>
      <c r="B7" s="5">
        <v>100</v>
      </c>
      <c r="C7" s="5">
        <v>80</v>
      </c>
    </row>
    <row r="8" spans="1:8" x14ac:dyDescent="0.5">
      <c r="A8" s="4" t="s">
        <v>70</v>
      </c>
      <c r="B8" s="4">
        <v>110</v>
      </c>
      <c r="C8" s="4">
        <v>90</v>
      </c>
    </row>
    <row r="9" spans="1:8" x14ac:dyDescent="0.5">
      <c r="A9" s="4" t="s">
        <v>71</v>
      </c>
      <c r="B9" s="4">
        <v>25</v>
      </c>
      <c r="C9" s="4">
        <v>2</v>
      </c>
    </row>
    <row r="10" spans="1:8" x14ac:dyDescent="0.5">
      <c r="A10" s="4" t="s">
        <v>72</v>
      </c>
      <c r="B10" s="4">
        <v>120</v>
      </c>
      <c r="C10" s="4">
        <v>75</v>
      </c>
    </row>
    <row r="11" spans="1:8" x14ac:dyDescent="0.5">
      <c r="A11" s="4" t="s">
        <v>73</v>
      </c>
      <c r="B11" s="4">
        <v>40</v>
      </c>
      <c r="C11" s="4">
        <v>15</v>
      </c>
    </row>
    <row r="12" spans="1:8" x14ac:dyDescent="0.5">
      <c r="A12" s="4" t="s">
        <v>74</v>
      </c>
      <c r="B12" s="4">
        <v>90</v>
      </c>
      <c r="C12" s="4">
        <v>100</v>
      </c>
    </row>
    <row r="14" spans="1:8" x14ac:dyDescent="0.5">
      <c r="A14" s="6"/>
    </row>
  </sheetData>
  <mergeCells count="2">
    <mergeCell ref="A1:H1"/>
    <mergeCell ref="A2:H2"/>
  </mergeCells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C7302-DF13-49AA-85E9-1DB591956282}">
  <dimension ref="A1:H14"/>
  <sheetViews>
    <sheetView workbookViewId="0">
      <selection activeCell="H19" sqref="H19"/>
    </sheetView>
  </sheetViews>
  <sheetFormatPr defaultRowHeight="14.35" x14ac:dyDescent="0.5"/>
  <cols>
    <col min="1" max="1" width="11.87890625" customWidth="1"/>
    <col min="3" max="3" width="15.41015625" customWidth="1"/>
  </cols>
  <sheetData>
    <row r="1" spans="1:8" x14ac:dyDescent="0.5">
      <c r="A1" s="57" t="s">
        <v>75</v>
      </c>
      <c r="B1" s="57"/>
      <c r="C1" s="57"/>
      <c r="D1" s="57"/>
      <c r="E1" s="57"/>
      <c r="F1" s="57"/>
      <c r="G1" s="57"/>
      <c r="H1" s="57"/>
    </row>
    <row r="2" spans="1:8" ht="141.75" customHeight="1" x14ac:dyDescent="0.5">
      <c r="A2" s="55" t="s">
        <v>86</v>
      </c>
      <c r="B2" s="56"/>
      <c r="C2" s="56"/>
      <c r="D2" s="56"/>
      <c r="E2" s="56"/>
      <c r="F2" s="56"/>
      <c r="G2" s="56"/>
      <c r="H2" s="56"/>
    </row>
    <row r="4" spans="1:8" x14ac:dyDescent="0.5">
      <c r="A4" s="3" t="s">
        <v>8</v>
      </c>
      <c r="B4" s="3" t="s">
        <v>76</v>
      </c>
      <c r="C4" s="3" t="s">
        <v>77</v>
      </c>
    </row>
    <row r="5" spans="1:8" x14ac:dyDescent="0.5">
      <c r="A5" s="5" t="s">
        <v>78</v>
      </c>
      <c r="B5" s="5">
        <v>10</v>
      </c>
      <c r="C5" s="5">
        <v>1</v>
      </c>
    </row>
    <row r="6" spans="1:8" x14ac:dyDescent="0.5">
      <c r="A6" s="4" t="s">
        <v>79</v>
      </c>
      <c r="B6" s="4">
        <v>15</v>
      </c>
      <c r="C6" s="4">
        <v>2</v>
      </c>
    </row>
    <row r="7" spans="1:8" x14ac:dyDescent="0.5">
      <c r="A7" s="4" t="s">
        <v>80</v>
      </c>
      <c r="B7" s="4">
        <v>120</v>
      </c>
      <c r="C7" s="4">
        <v>15</v>
      </c>
    </row>
    <row r="8" spans="1:8" x14ac:dyDescent="0.5">
      <c r="A8" s="5" t="s">
        <v>81</v>
      </c>
      <c r="B8" s="5">
        <v>130</v>
      </c>
      <c r="C8" s="5">
        <v>18</v>
      </c>
    </row>
    <row r="9" spans="1:8" x14ac:dyDescent="0.5">
      <c r="A9" s="5" t="s">
        <v>82</v>
      </c>
      <c r="B9" s="5">
        <v>150</v>
      </c>
      <c r="C9" s="5">
        <v>2</v>
      </c>
    </row>
    <row r="10" spans="1:8" x14ac:dyDescent="0.5">
      <c r="A10" s="4" t="s">
        <v>83</v>
      </c>
      <c r="B10" s="4">
        <v>140</v>
      </c>
      <c r="C10" s="4">
        <v>3</v>
      </c>
    </row>
    <row r="11" spans="1:8" x14ac:dyDescent="0.5">
      <c r="A11" s="4" t="s">
        <v>84</v>
      </c>
      <c r="B11" s="4">
        <v>12</v>
      </c>
      <c r="C11" s="4">
        <v>0</v>
      </c>
    </row>
    <row r="12" spans="1:8" x14ac:dyDescent="0.5">
      <c r="A12" s="4" t="s">
        <v>85</v>
      </c>
      <c r="B12" s="4">
        <v>115</v>
      </c>
      <c r="C12" s="4">
        <v>20</v>
      </c>
    </row>
    <row r="14" spans="1:8" x14ac:dyDescent="0.5">
      <c r="A14" s="6"/>
    </row>
  </sheetData>
  <mergeCells count="2">
    <mergeCell ref="A1:H1"/>
    <mergeCell ref="A2:H2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8</vt:i4>
      </vt:variant>
    </vt:vector>
  </HeadingPairs>
  <TitlesOfParts>
    <vt:vector size="8" baseType="lpstr">
      <vt:lpstr>Exemplo1</vt:lpstr>
      <vt:lpstr>Exemplo2</vt:lpstr>
      <vt:lpstr>Varejo</vt:lpstr>
      <vt:lpstr>Indústria</vt:lpstr>
      <vt:lpstr>Imóveis</vt:lpstr>
      <vt:lpstr>Esporte</vt:lpstr>
      <vt:lpstr>Risco</vt:lpstr>
      <vt:lpstr>UX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Denise Tsunoda</dc:creator>
  <cp:lastModifiedBy>Denise Tsunoda</cp:lastModifiedBy>
  <dcterms:created xsi:type="dcterms:W3CDTF">2026-05-18T15:55:00Z</dcterms:created>
  <dcterms:modified xsi:type="dcterms:W3CDTF">2026-05-23T13:15:17Z</dcterms:modified>
</cp:coreProperties>
</file>