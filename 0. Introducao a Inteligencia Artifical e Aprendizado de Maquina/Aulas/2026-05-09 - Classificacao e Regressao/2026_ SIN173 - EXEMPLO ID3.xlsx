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LINDA\Documents\UFPR\Disciplinas\ITI\Aulas\2024\Aulas\Aula 4 - ID3\"/>
    </mc:Choice>
  </mc:AlternateContent>
  <xr:revisionPtr revIDLastSave="0" documentId="8_{7C9F2D0B-BB32-4AFD-9367-84326307397A}" xr6:coauthVersionLast="47" xr6:coauthVersionMax="47" xr10:uidLastSave="{00000000-0000-0000-0000-000000000000}"/>
  <bookViews>
    <workbookView xWindow="57480" yWindow="-120" windowWidth="29040" windowHeight="15840" activeTab="2" xr2:uid="{BE130926-197C-4513-AB52-D14A6801501C}"/>
  </bookViews>
  <sheets>
    <sheet name="Algoritmo" sheetId="4" r:id="rId1"/>
    <sheet name="Ex Sem Recursividade" sheetId="12" r:id="rId2"/>
    <sheet name="EXEMPLO Com Recursividade" sheetId="5" r:id="rId3"/>
  </sheets>
  <definedNames>
    <definedName name="_xlnm._FilterDatabase" localSheetId="1" hidden="1">'Ex Sem Recursividade'!$A$55:$D$64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2" l="1"/>
  <c r="F31" i="12" l="1"/>
  <c r="C31" i="12"/>
  <c r="B31" i="12"/>
  <c r="D31" i="12" s="1"/>
  <c r="F30" i="12"/>
  <c r="C30" i="12"/>
  <c r="B30" i="12"/>
  <c r="F29" i="12"/>
  <c r="C29" i="12"/>
  <c r="B29" i="12"/>
  <c r="C24" i="12"/>
  <c r="B24" i="12"/>
  <c r="C23" i="12"/>
  <c r="B23" i="12"/>
  <c r="D23" i="12" s="1"/>
  <c r="C18" i="12"/>
  <c r="B18" i="12"/>
  <c r="C17" i="12"/>
  <c r="B17" i="12"/>
  <c r="C13" i="12"/>
  <c r="D12" i="12"/>
  <c r="C12" i="12"/>
  <c r="B12" i="12"/>
  <c r="A12" i="12"/>
  <c r="D11" i="12"/>
  <c r="C11" i="12"/>
  <c r="B11" i="12"/>
  <c r="A11" i="12"/>
  <c r="D17" i="12" l="1"/>
  <c r="B14" i="12"/>
  <c r="D24" i="12"/>
  <c r="B26" i="12" s="1"/>
  <c r="G30" i="12" s="1"/>
  <c r="D29" i="12"/>
  <c r="B33" i="12" s="1"/>
  <c r="G31" i="12" s="1"/>
  <c r="G29" i="12"/>
  <c r="E11" i="5" l="1"/>
  <c r="E12" i="5"/>
  <c r="B16" i="5"/>
  <c r="D11" i="5"/>
  <c r="B31" i="5"/>
  <c r="C31" i="5"/>
  <c r="D31" i="5"/>
  <c r="D12" i="5"/>
  <c r="B32" i="5"/>
  <c r="C32" i="5"/>
  <c r="D32" i="5"/>
  <c r="D13" i="5"/>
  <c r="B33" i="5"/>
  <c r="C33" i="5"/>
  <c r="D33" i="5"/>
  <c r="B35" i="5"/>
  <c r="F24" i="5"/>
  <c r="C11" i="5"/>
  <c r="B25" i="5"/>
  <c r="C25" i="5"/>
  <c r="D25" i="5"/>
  <c r="C12" i="5"/>
  <c r="B26" i="5"/>
  <c r="C26" i="5"/>
  <c r="D26" i="5"/>
  <c r="B28" i="5"/>
  <c r="F23" i="5"/>
  <c r="B11" i="5"/>
  <c r="B19" i="5"/>
  <c r="C19" i="5"/>
  <c r="D19" i="5"/>
  <c r="B12" i="5"/>
  <c r="B20" i="5"/>
  <c r="C20" i="5"/>
  <c r="D20" i="5"/>
  <c r="B22" i="5"/>
  <c r="F22" i="5"/>
  <c r="E24" i="5"/>
  <c r="E23" i="5"/>
  <c r="E22" i="5"/>
</calcChain>
</file>

<file path=xl/sharedStrings.xml><?xml version="1.0" encoding="utf-8"?>
<sst xmlns="http://schemas.openxmlformats.org/spreadsheetml/2006/main" count="635" uniqueCount="43">
  <si>
    <t>Faixa etária</t>
  </si>
  <si>
    <t>Cor</t>
  </si>
  <si>
    <t>Tamanho</t>
  </si>
  <si>
    <t>Compra camiseta?</t>
  </si>
  <si>
    <t>A</t>
  </si>
  <si>
    <t>Azul</t>
  </si>
  <si>
    <t>G</t>
  </si>
  <si>
    <t>Sim</t>
  </si>
  <si>
    <t>Vermelho</t>
  </si>
  <si>
    <t>M</t>
  </si>
  <si>
    <t>Não</t>
  </si>
  <si>
    <t>B</t>
  </si>
  <si>
    <t>P</t>
  </si>
  <si>
    <t>H(S)=</t>
  </si>
  <si>
    <t>Ganho(FE)</t>
  </si>
  <si>
    <t>H(A)=</t>
  </si>
  <si>
    <t>H(B)=</t>
  </si>
  <si>
    <t>GANHO(FE)=</t>
  </si>
  <si>
    <t>Ganho(Cor)</t>
  </si>
  <si>
    <t>GANHO(Cor)=</t>
  </si>
  <si>
    <t>H(Azul)=</t>
  </si>
  <si>
    <t>H(Vermelho)=</t>
  </si>
  <si>
    <t>Ganho(Tamanho)</t>
  </si>
  <si>
    <t>H(P)=</t>
  </si>
  <si>
    <t>H(M)=</t>
  </si>
  <si>
    <t>H(G)=</t>
  </si>
  <si>
    <t>GANHO(Tamanho)=</t>
  </si>
  <si>
    <t>ID</t>
  </si>
  <si>
    <t>Entropia do conjunto</t>
  </si>
  <si>
    <t>ENTROPIA DO CONJUNTO: UTILIZANDO O ATRIBUTO META</t>
  </si>
  <si>
    <t>Ganho(FE)=</t>
  </si>
  <si>
    <t>Ganho(Cor)=</t>
  </si>
  <si>
    <t>Ganho(TAM)</t>
  </si>
  <si>
    <t>Ganho(TAM)=</t>
  </si>
  <si>
    <t>ALGORITMO ID3 com recursividade</t>
  </si>
  <si>
    <t>Entropia parcial</t>
  </si>
  <si>
    <t>Faixa etária (FE)</t>
  </si>
  <si>
    <t>Tamanho (TAM)</t>
  </si>
  <si>
    <t>GANHO(TAM)=</t>
  </si>
  <si>
    <t>ENTROPIA DO CONJUNTO: UTILIZANDO O ATRIBUTO META DESTA NOVA TABELA</t>
  </si>
  <si>
    <t>3ª iteração</t>
  </si>
  <si>
    <t>2ª iteração</t>
  </si>
  <si>
    <t>1ª iteração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</si>
</sst>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Gill Sans MT"/>
      <family val="2"/>
    </font>
    <font>
      <sz val="14"/>
      <color rgb="FF000000"/>
      <name val="Gill Sans MT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36"/>
      <color rgb="FF9C5700"/>
      <name val="Calibri"/>
      <family val="2"/>
      <scheme val="minor"/>
    </font>
    <font>
      <strike/>
      <sz val="14"/>
      <color rgb="FF000000"/>
      <name val="Gill Sans MT"/>
      <family val="2"/>
    </font>
    <font>
      <sz val="14"/>
      <color rgb="FFFF0000"/>
      <name val="Gill Sans MT"/>
      <family val="2"/>
    </font>
    <font>
      <sz val="14"/>
      <color theme="1"/>
      <name val="Gill Sans MT"/>
      <family val="2"/>
    </font>
    <font>
      <strike/>
      <sz val="14"/>
      <color theme="1"/>
      <name val="Gill Sans MT"/>
      <family val="2"/>
    </font>
    <font>
      <sz val="14"/>
      <color rgb="FF0070C0"/>
      <name val="Gill Sans MT"/>
      <family val="2"/>
    </font>
    <font>
      <sz val="14"/>
      <color rgb="FFFF0066"/>
      <name val="Gill Sans MT"/>
      <family val="2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16349"/>
        <bgColor indexed="64"/>
      </patternFill>
    </fill>
    <fill>
      <patternFill patternType="solid">
        <fgColor rgb="FFEED3CF"/>
        <bgColor indexed="64"/>
      </patternFill>
    </fill>
    <fill>
      <patternFill patternType="solid">
        <fgColor rgb="FFF7EAE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5" fillId="8" borderId="0" applyNumberFormat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5" borderId="4" xfId="0" applyFont="1" applyFill="1" applyBorder="1"/>
    <xf numFmtId="164" fontId="4" fillId="5" borderId="4" xfId="0" applyNumberFormat="1" applyFont="1" applyFill="1" applyBorder="1"/>
    <xf numFmtId="0" fontId="7" fillId="3" borderId="2" xfId="0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horizontal="center" vertical="center" wrapText="1" readingOrder="1"/>
    </xf>
    <xf numFmtId="0" fontId="8" fillId="4" borderId="3" xfId="0" applyFont="1" applyFill="1" applyBorder="1" applyAlignment="1">
      <alignment horizontal="center" vertical="center" wrapText="1" readingOrder="1"/>
    </xf>
    <xf numFmtId="0" fontId="10" fillId="4" borderId="3" xfId="0" applyFont="1" applyFill="1" applyBorder="1" applyAlignment="1">
      <alignment horizontal="center" vertical="center" wrapText="1" readingOrder="1"/>
    </xf>
    <xf numFmtId="0" fontId="8" fillId="3" borderId="3" xfId="0" applyFont="1" applyFill="1" applyBorder="1" applyAlignment="1">
      <alignment horizontal="center" vertical="center" wrapText="1" readingOrder="1"/>
    </xf>
    <xf numFmtId="0" fontId="10" fillId="3" borderId="3" xfId="0" applyFont="1" applyFill="1" applyBorder="1" applyAlignment="1">
      <alignment horizontal="center" vertical="center" wrapText="1" readingOrder="1"/>
    </xf>
    <xf numFmtId="0" fontId="9" fillId="3" borderId="2" xfId="0" applyFont="1" applyFill="1" applyBorder="1" applyAlignment="1">
      <alignment horizontal="center" vertical="center" wrapText="1" readingOrder="1"/>
    </xf>
    <xf numFmtId="0" fontId="11" fillId="4" borderId="3" xfId="0" applyFont="1" applyFill="1" applyBorder="1" applyAlignment="1">
      <alignment horizontal="center" vertical="center" wrapText="1" readingOrder="1"/>
    </xf>
    <xf numFmtId="0" fontId="11" fillId="3" borderId="3" xfId="0" applyFont="1" applyFill="1" applyBorder="1" applyAlignment="1">
      <alignment horizontal="center" vertical="center" wrapText="1" readingOrder="1"/>
    </xf>
    <xf numFmtId="0" fontId="12" fillId="3" borderId="2" xfId="0" applyFont="1" applyFill="1" applyBorder="1" applyAlignment="1">
      <alignment horizontal="center" vertical="center" wrapText="1" readingOrder="1"/>
    </xf>
    <xf numFmtId="0" fontId="12" fillId="3" borderId="3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/>
    </xf>
    <xf numFmtId="0" fontId="3" fillId="7" borderId="4" xfId="0" applyFont="1" applyFill="1" applyBorder="1"/>
    <xf numFmtId="164" fontId="3" fillId="7" borderId="4" xfId="0" applyNumberFormat="1" applyFont="1" applyFill="1" applyBorder="1"/>
    <xf numFmtId="0" fontId="4" fillId="9" borderId="4" xfId="0" applyFont="1" applyFill="1" applyBorder="1"/>
    <xf numFmtId="0" fontId="4" fillId="7" borderId="4" xfId="0" applyFont="1" applyFill="1" applyBorder="1"/>
    <xf numFmtId="164" fontId="4" fillId="9" borderId="4" xfId="0" applyNumberFormat="1" applyFont="1" applyFill="1" applyBorder="1" applyAlignment="1">
      <alignment horizontal="center"/>
    </xf>
    <xf numFmtId="164" fontId="4" fillId="7" borderId="4" xfId="0" applyNumberFormat="1" applyFont="1" applyFill="1" applyBorder="1" applyAlignment="1">
      <alignment horizontal="center"/>
    </xf>
    <xf numFmtId="0" fontId="3" fillId="6" borderId="4" xfId="0" applyFont="1" applyFill="1" applyBorder="1"/>
    <xf numFmtId="164" fontId="3" fillId="6" borderId="4" xfId="0" applyNumberFormat="1" applyFont="1" applyFill="1" applyBorder="1" applyAlignment="1">
      <alignment horizontal="center"/>
    </xf>
    <xf numFmtId="164" fontId="3" fillId="7" borderId="4" xfId="0" applyNumberFormat="1" applyFont="1" applyFill="1" applyBorder="1" applyAlignment="1">
      <alignment horizontal="center"/>
    </xf>
    <xf numFmtId="0" fontId="3" fillId="10" borderId="4" xfId="0" applyFont="1" applyFill="1" applyBorder="1"/>
    <xf numFmtId="164" fontId="3" fillId="10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6" fillId="8" borderId="0" xfId="1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eutro" xfId="1" builtinId="2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Gill Sans M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FFFFFF"/>
        </left>
        <right/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Gill Sans M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Gill Sans M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Gill Sans M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outline="0">
        <right style="medium">
          <color rgb="FFFFFFFF"/>
        </right>
      </border>
    </dxf>
    <dxf>
      <border outline="0">
        <right style="medium">
          <color rgb="FFFFFFF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Gill Sans MT"/>
        <family val="2"/>
        <scheme val="none"/>
      </font>
      <fill>
        <patternFill patternType="solid">
          <fgColor indexed="64"/>
          <bgColor rgb="FFEED3CF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Gill Sans MT"/>
        <family val="2"/>
        <scheme val="none"/>
      </font>
      <fill>
        <patternFill patternType="solid">
          <fgColor indexed="64"/>
          <bgColor rgb="FFD16349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3</xdr:row>
      <xdr:rowOff>28575</xdr:rowOff>
    </xdr:from>
    <xdr:to>
      <xdr:col>14</xdr:col>
      <xdr:colOff>261938</xdr:colOff>
      <xdr:row>31</xdr:row>
      <xdr:rowOff>52388</xdr:rowOff>
    </xdr:to>
    <xdr:sp macro="" textlink="">
      <xdr:nvSpPr>
        <xdr:cNvPr id="2" name="Espaço Reservado para Conteúdo 2">
          <a:extLst>
            <a:ext uri="{FF2B5EF4-FFF2-40B4-BE49-F238E27FC236}">
              <a16:creationId xmlns:a16="http://schemas.microsoft.com/office/drawing/2014/main" id="{99212EAD-3F4A-41AC-9747-7DE418749F61}"/>
            </a:ext>
          </a:extLst>
        </xdr:cNvPr>
        <xdr:cNvSpPr>
          <a:spLocks noGrp="1"/>
        </xdr:cNvSpPr>
      </xdr:nvSpPr>
      <xdr:spPr bwMode="auto">
        <a:xfrm>
          <a:off x="295275" y="600075"/>
          <a:ext cx="8501063" cy="53578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  <a:normAutofit fontScale="92500" lnSpcReduction="10000"/>
        </a:bodyPr>
        <a:lstStyle>
          <a:lvl1pPr marL="365125" indent="-282575" algn="l" rtl="0" eaLnBrk="0" fontAlgn="base" hangingPunct="0">
            <a:spcBef>
              <a:spcPts val="600"/>
            </a:spcBef>
            <a:spcAft>
              <a:spcPct val="0"/>
            </a:spcAft>
            <a:buClr>
              <a:schemeClr val="accent1"/>
            </a:buClr>
            <a:buSzPct val="80000"/>
            <a:buFont typeface="Wingdings 2" pitchFamily="18" charset="2"/>
            <a:buChar char="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39763" indent="-236538" algn="l" rtl="0" eaLnBrk="0" fontAlgn="base" hangingPunct="0">
            <a:spcBef>
              <a:spcPts val="550"/>
            </a:spcBef>
            <a:spcAft>
              <a:spcPct val="0"/>
            </a:spcAft>
            <a:buClr>
              <a:schemeClr val="accent1"/>
            </a:buClr>
            <a:buFont typeface="Verdana" pitchFamily="34" charset="0"/>
            <a:buChar char="◦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885825" indent="-228600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accent2"/>
            </a:buClr>
            <a:buFont typeface="Wingdings 2" pitchFamily="18" charset="2"/>
            <a:buChar char="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96963" indent="-173038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C32D2E"/>
            </a:buClr>
            <a:buFont typeface="Wingdings 2" pitchFamily="18" charset="2"/>
            <a:buChar char="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296988" indent="-182563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84AA33"/>
            </a:buClr>
            <a:buFont typeface="Wingdings 2" pitchFamily="18" charset="2"/>
            <a:buChar char="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508760" indent="-182880" algn="l" rtl="0" eaLnBrk="1" latinLnBrk="0" hangingPunct="1">
            <a:lnSpc>
              <a:spcPct val="100000"/>
            </a:lnSpc>
            <a:spcBef>
              <a:spcPct val="20000"/>
            </a:spcBef>
            <a:buClr>
              <a:schemeClr val="accent5"/>
            </a:buClr>
            <a:buFont typeface="Wingdings 2"/>
            <a:buChar char=""/>
            <a:defRPr kumimoji="0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1719072" indent="-182880" algn="l" rtl="0" eaLnBrk="1" latinLnBrk="0" hangingPunct="1">
            <a:lnSpc>
              <a:spcPct val="100000"/>
            </a:lnSpc>
            <a:spcBef>
              <a:spcPct val="20000"/>
            </a:spcBef>
            <a:buClr>
              <a:schemeClr val="accent6"/>
            </a:buClr>
            <a:buFont typeface="Wingdings 2"/>
            <a:buChar char=""/>
            <a:defRPr kumimoji="0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1920240" indent="-182880" algn="l" rtl="0" eaLnBrk="1" latinLnBrk="0" hangingPunct="1">
            <a:lnSpc>
              <a:spcPct val="100000"/>
            </a:lnSpc>
            <a:spcBef>
              <a:spcPct val="20000"/>
            </a:spcBef>
            <a:buClr>
              <a:schemeClr val="accent6"/>
            </a:buClr>
            <a:buFont typeface="Wingdings 2"/>
            <a:buChar char=""/>
            <a:defRPr kumimoji="0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130552" indent="-182880" algn="l" rtl="0" eaLnBrk="1" latinLnBrk="0" hangingPunct="1">
            <a:lnSpc>
              <a:spcPct val="100000"/>
            </a:lnSpc>
            <a:spcBef>
              <a:spcPct val="20000"/>
            </a:spcBef>
            <a:buClr>
              <a:schemeClr val="accent6"/>
            </a:buClr>
            <a:buFont typeface="Wingdings 2"/>
            <a:buChar char=""/>
            <a:defRPr kumimoji="0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  <a:extLst/>
        </a:lstStyle>
        <a:p>
          <a:pPr marL="365760" indent="-283464" eaLnBrk="1" fontAlgn="auto" hangingPunct="1">
            <a:spcAft>
              <a:spcPts val="0"/>
            </a:spcAft>
            <a:buFont typeface="Wingdings 2"/>
            <a:buChar char=""/>
            <a:defRPr/>
          </a:pPr>
          <a:r>
            <a:rPr lang="pt-BR" sz="1600"/>
            <a:t>ID3( </a:t>
          </a:r>
          <a:r>
            <a:rPr lang="pt-BR" sz="1600" i="1"/>
            <a:t>Exemplos, Atributo_Alvo, Atributos)</a:t>
          </a:r>
        </a:p>
        <a:p>
          <a:pPr marL="365760" indent="-283464" eaLnBrk="1" fontAlgn="auto" hangingPunct="1">
            <a:spcAft>
              <a:spcPts val="0"/>
            </a:spcAft>
            <a:buFont typeface="Wingdings 2"/>
            <a:buChar char=""/>
            <a:defRPr/>
          </a:pPr>
          <a:r>
            <a:rPr lang="pt-BR" sz="1600"/>
            <a:t>Crie um nó </a:t>
          </a:r>
          <a:r>
            <a:rPr lang="pt-BR" sz="1600" i="1"/>
            <a:t>Raiz para a árvore</a:t>
          </a:r>
        </a:p>
        <a:p>
          <a:pPr marL="365760" indent="-283464" eaLnBrk="1" fontAlgn="auto" hangingPunct="1">
            <a:spcAft>
              <a:spcPts val="0"/>
            </a:spcAft>
            <a:buFont typeface="Wingdings 2"/>
            <a:buChar char=""/>
            <a:defRPr/>
          </a:pPr>
          <a:r>
            <a:rPr lang="pt-BR" sz="1600"/>
            <a:t>Se todos </a:t>
          </a:r>
          <a:r>
            <a:rPr lang="pt-BR" sz="1600" i="1"/>
            <a:t>Exemplos forem positivos, retorne a árvore de nó único (Raiz), com etiqueta = +</a:t>
          </a:r>
        </a:p>
        <a:p>
          <a:pPr marL="365760" indent="-283464" eaLnBrk="1" fontAlgn="auto" hangingPunct="1">
            <a:spcAft>
              <a:spcPts val="0"/>
            </a:spcAft>
            <a:buFont typeface="Wingdings 2"/>
            <a:buChar char=""/>
            <a:defRPr/>
          </a:pPr>
          <a:r>
            <a:rPr lang="pt-BR" sz="1600"/>
            <a:t>Se todos </a:t>
          </a:r>
          <a:r>
            <a:rPr lang="pt-BR" sz="1600" i="1"/>
            <a:t>Exemplos forem positivos, retorne a árvore de nó único (Raiz), com etiqueta = –</a:t>
          </a:r>
        </a:p>
        <a:p>
          <a:pPr marL="365760" indent="-283464" eaLnBrk="1" fontAlgn="auto" hangingPunct="1">
            <a:spcAft>
              <a:spcPts val="0"/>
            </a:spcAft>
            <a:buFont typeface="Wingdings 2"/>
            <a:buChar char=""/>
            <a:defRPr/>
          </a:pPr>
          <a:r>
            <a:rPr lang="pt-BR" sz="1600" i="1"/>
            <a:t>Se Atributos estiver vazio, retorne a árvore de nó único Raiz, com etiqueta = valor mais comum do Atributo_Alvo nos Exemplos</a:t>
          </a:r>
        </a:p>
        <a:p>
          <a:pPr marL="365760" indent="-283464" eaLnBrk="1" fontAlgn="auto" hangingPunct="1">
            <a:spcAft>
              <a:spcPts val="0"/>
            </a:spcAft>
            <a:buFont typeface="Wingdings 2"/>
            <a:buChar char=""/>
            <a:defRPr/>
          </a:pPr>
          <a:r>
            <a:rPr lang="pt-BR" sz="1600"/>
            <a:t>Caso contrário, comece:</a:t>
          </a:r>
        </a:p>
        <a:p>
          <a:pPr marL="640080" lvl="1" indent="-237744" eaLnBrk="1" fontAlgn="auto" hangingPunct="1">
            <a:spcAft>
              <a:spcPts val="0"/>
            </a:spcAft>
            <a:buFont typeface="Verdana"/>
            <a:buChar char="◦"/>
            <a:defRPr/>
          </a:pPr>
          <a:r>
            <a:rPr lang="pt-BR" sz="1600" i="1"/>
            <a:t>A ←o atributo de Atributos que melhor classifica* Exemplos</a:t>
          </a:r>
        </a:p>
        <a:p>
          <a:pPr marL="640080" lvl="1" indent="-237744" eaLnBrk="1" fontAlgn="auto" hangingPunct="1">
            <a:spcAft>
              <a:spcPts val="0"/>
            </a:spcAft>
            <a:buFont typeface="Verdana"/>
            <a:buChar char="◦"/>
            <a:defRPr/>
          </a:pPr>
          <a:r>
            <a:rPr lang="pt-BR" sz="1600"/>
            <a:t>O atributo de decisão para </a:t>
          </a:r>
          <a:r>
            <a:rPr lang="pt-BR" sz="1600" i="1"/>
            <a:t>Raiz ←A</a:t>
          </a:r>
        </a:p>
        <a:p>
          <a:pPr marL="640080" lvl="1" indent="-237744" eaLnBrk="1" fontAlgn="auto" hangingPunct="1">
            <a:spcAft>
              <a:spcPts val="0"/>
            </a:spcAft>
            <a:buFont typeface="Verdana"/>
            <a:buChar char="◦"/>
            <a:defRPr/>
          </a:pPr>
          <a:r>
            <a:rPr lang="pt-BR" sz="1600"/>
            <a:t>Para cada valor possível, </a:t>
          </a:r>
          <a:r>
            <a:rPr lang="pt-BR" sz="1600" i="1"/>
            <a:t>vi , de A,</a:t>
          </a:r>
        </a:p>
        <a:p>
          <a:pPr marL="886968" lvl="2" eaLnBrk="1" fontAlgn="auto" hangingPunct="1">
            <a:spcAft>
              <a:spcPts val="0"/>
            </a:spcAft>
            <a:buFont typeface="Wingdings 2"/>
            <a:buChar char=""/>
            <a:defRPr/>
          </a:pPr>
          <a:r>
            <a:rPr lang="pt-BR" sz="1600" i="1"/>
            <a:t>Adicione um novo ramo da árvore abaixo da Raiz, correspondendo ao teste A= vi</a:t>
          </a:r>
        </a:p>
        <a:p>
          <a:pPr marL="886968" lvl="2" eaLnBrk="1" fontAlgn="auto" hangingPunct="1">
            <a:spcAft>
              <a:spcPts val="0"/>
            </a:spcAft>
            <a:buFont typeface="Wingdings 2"/>
            <a:buChar char=""/>
            <a:defRPr/>
          </a:pPr>
          <a:r>
            <a:rPr lang="pt-BR" sz="1600"/>
            <a:t>Faça </a:t>
          </a:r>
          <a:r>
            <a:rPr lang="pt-BR" sz="1600" i="1"/>
            <a:t>Exemplos vi ser o subconjunto de Exemplos que tem valor vi para A.</a:t>
          </a:r>
        </a:p>
        <a:p>
          <a:pPr marL="886968" lvl="2" eaLnBrk="1" fontAlgn="auto" hangingPunct="1">
            <a:spcAft>
              <a:spcPts val="0"/>
            </a:spcAft>
            <a:buFont typeface="Wingdings 2"/>
            <a:buChar char=""/>
            <a:defRPr/>
          </a:pPr>
          <a:r>
            <a:rPr lang="pt-BR" sz="1600"/>
            <a:t>Se </a:t>
          </a:r>
          <a:r>
            <a:rPr lang="pt-BR" sz="1600" i="1"/>
            <a:t>Exemplos vi for vazio</a:t>
          </a:r>
        </a:p>
        <a:p>
          <a:pPr marL="1097280" lvl="3" indent="-173736" eaLnBrk="1" fontAlgn="auto" hangingPunct="1">
            <a:spcAft>
              <a:spcPts val="0"/>
            </a:spcAft>
            <a:buClr>
              <a:schemeClr val="accent3"/>
            </a:buClr>
            <a:buFont typeface="Wingdings 2"/>
            <a:buChar char=""/>
            <a:defRPr/>
          </a:pPr>
          <a:r>
            <a:rPr lang="pt-BR" sz="1600" i="1"/>
            <a:t>Então embaixo deste novo ramo, adicione uma folha com etiqueta = valor mais comum do Atributo_Alvo nos Exemplos</a:t>
          </a:r>
        </a:p>
        <a:p>
          <a:pPr marL="1097280" lvl="3" indent="-173736" eaLnBrk="1" fontAlgn="auto" hangingPunct="1">
            <a:spcAft>
              <a:spcPts val="0"/>
            </a:spcAft>
            <a:buClr>
              <a:schemeClr val="accent3"/>
            </a:buClr>
            <a:buFont typeface="Wingdings 2"/>
            <a:buChar char=""/>
            <a:defRPr/>
          </a:pPr>
          <a:r>
            <a:rPr lang="pt-BR" sz="1600"/>
            <a:t>Senão embaixo deste novo ramo adicione a subárvore</a:t>
          </a:r>
        </a:p>
        <a:p>
          <a:pPr marL="1298448" lvl="4" indent="-182880" eaLnBrk="1" fontAlgn="auto" hangingPunct="1">
            <a:spcAft>
              <a:spcPts val="0"/>
            </a:spcAft>
            <a:buClr>
              <a:schemeClr val="accent4"/>
            </a:buClr>
            <a:buFont typeface="Wingdings 2"/>
            <a:buChar char=""/>
            <a:defRPr/>
          </a:pPr>
          <a:r>
            <a:rPr lang="pt-BR" sz="1600"/>
            <a:t>ID3(</a:t>
          </a:r>
          <a:r>
            <a:rPr lang="pt-BR" sz="1600" i="1"/>
            <a:t>Exemplos, Atributo_Alvo, Atributos – {A}) </a:t>
          </a:r>
        </a:p>
        <a:p>
          <a:pPr marL="365760" indent="-283464" eaLnBrk="1" fontAlgn="auto" hangingPunct="1">
            <a:spcAft>
              <a:spcPts val="0"/>
            </a:spcAft>
            <a:buFont typeface="Wingdings 2"/>
            <a:buChar char=""/>
            <a:defRPr/>
          </a:pPr>
          <a:r>
            <a:rPr lang="pt-BR" sz="1600"/>
            <a:t>Final</a:t>
          </a:r>
        </a:p>
        <a:p>
          <a:pPr marL="365760" indent="-283464" eaLnBrk="1" fontAlgn="auto" hangingPunct="1">
            <a:spcAft>
              <a:spcPts val="0"/>
            </a:spcAft>
            <a:buFont typeface="Wingdings 2"/>
            <a:buChar char=""/>
            <a:defRPr/>
          </a:pPr>
          <a:r>
            <a:rPr lang="pt-BR" sz="1600"/>
            <a:t>Retorne </a:t>
          </a:r>
          <a:r>
            <a:rPr lang="pt-BR" sz="1600" i="1"/>
            <a:t>Raiz</a:t>
          </a:r>
          <a:endParaRPr lang="pt-BR" sz="1600"/>
        </a:p>
      </xdr:txBody>
    </xdr:sp>
    <xdr:clientData/>
  </xdr:twoCellAnchor>
  <xdr:twoCellAnchor editAs="oneCell">
    <xdr:from>
      <xdr:col>1</xdr:col>
      <xdr:colOff>200025</xdr:colOff>
      <xdr:row>57</xdr:row>
      <xdr:rowOff>114300</xdr:rowOff>
    </xdr:from>
    <xdr:to>
      <xdr:col>13</xdr:col>
      <xdr:colOff>573087</xdr:colOff>
      <xdr:row>62</xdr:row>
      <xdr:rowOff>95249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642D930-B1AD-4157-88E2-5325EC19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9625" y="11239500"/>
          <a:ext cx="7683500" cy="9286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552450</xdr:colOff>
      <xdr:row>31</xdr:row>
      <xdr:rowOff>0</xdr:rowOff>
    </xdr:from>
    <xdr:ext cx="8210550" cy="3057525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0F93E4A-41A6-4132-9158-CED38FA7862A}"/>
            </a:ext>
          </a:extLst>
        </xdr:cNvPr>
        <xdr:cNvSpPr txBox="1"/>
      </xdr:nvSpPr>
      <xdr:spPr>
        <a:xfrm>
          <a:off x="552450" y="6172200"/>
          <a:ext cx="8210550" cy="3057525"/>
        </a:xfrm>
        <a:prstGeom prst="rect">
          <a:avLst/>
        </a:prstGeom>
        <a:noFill/>
        <a:ln w="25400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 rtl="0" eaLnBrk="1" fontAlgn="base" hangingPunct="1"/>
          <a:r>
            <a:rPr lang="pt-BR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ENTROPIA</a:t>
          </a:r>
        </a:p>
        <a:p>
          <a:pPr rtl="0" eaLnBrk="1" fontAlgn="base" hangingPunct="1"/>
          <a:r>
            <a:rPr lang="pt-BR" sz="2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Dada uma coleção </a:t>
          </a:r>
          <a:r>
            <a:rPr lang="pt-BR" sz="24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 contendo exemplos + e –de algum conceito alvo, a entropia de S relativa a esta classificação booleana é:</a:t>
          </a:r>
          <a:endParaRPr lang="pt-BR" sz="2400">
            <a:effectLst/>
          </a:endParaRPr>
        </a:p>
        <a:p>
          <a:pPr rtl="0" eaLnBrk="1" fontAlgn="base" hangingPunct="1"/>
          <a:r>
            <a:rPr lang="pt-BR" sz="24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p+ é a proporção de exemplos positivos em S</a:t>
          </a:r>
          <a:endParaRPr lang="pt-BR" sz="2400">
            <a:effectLst/>
          </a:endParaRPr>
        </a:p>
        <a:p>
          <a:pPr rtl="0" eaLnBrk="1" fontAlgn="base" hangingPunct="1"/>
          <a:r>
            <a:rPr lang="pt-BR" sz="24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p–é a proporção de exemplos negativos em S</a:t>
          </a:r>
          <a:endParaRPr lang="pt-BR" sz="2400">
            <a:effectLst/>
          </a:endParaRPr>
        </a:p>
        <a:p>
          <a:endParaRPr lang="pt-BR" sz="2400"/>
        </a:p>
      </xdr:txBody>
    </xdr:sp>
    <xdr:clientData/>
  </xdr:oneCellAnchor>
  <xdr:twoCellAnchor>
    <xdr:from>
      <xdr:col>0</xdr:col>
      <xdr:colOff>542925</xdr:colOff>
      <xdr:row>48</xdr:row>
      <xdr:rowOff>47624</xdr:rowOff>
    </xdr:from>
    <xdr:to>
      <xdr:col>14</xdr:col>
      <xdr:colOff>238125</xdr:colOff>
      <xdr:row>63</xdr:row>
      <xdr:rowOff>152399</xdr:rowOff>
    </xdr:to>
    <xdr:sp macro="" textlink="">
      <xdr:nvSpPr>
        <xdr:cNvPr id="6" name="Espaço Reservado para Conteúdo 2">
          <a:extLst>
            <a:ext uri="{FF2B5EF4-FFF2-40B4-BE49-F238E27FC236}">
              <a16:creationId xmlns:a16="http://schemas.microsoft.com/office/drawing/2014/main" id="{6DEA6905-23B0-48A5-B86C-AF8A5CC86465}"/>
            </a:ext>
          </a:extLst>
        </xdr:cNvPr>
        <xdr:cNvSpPr>
          <a:spLocks noGrp="1"/>
        </xdr:cNvSpPr>
      </xdr:nvSpPr>
      <xdr:spPr bwMode="auto">
        <a:xfrm>
          <a:off x="542925" y="9458324"/>
          <a:ext cx="8229600" cy="2962275"/>
        </a:xfrm>
        <a:prstGeom prst="rect">
          <a:avLst/>
        </a:prstGeom>
        <a:noFill/>
        <a:ln w="25400">
          <a:solidFill>
            <a:schemeClr val="accent5">
              <a:lumMod val="75000"/>
            </a:schemeClr>
          </a:solidFill>
          <a:miter lim="800000"/>
          <a:headEnd/>
          <a:tailEnd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365125" indent="-282575" algn="l" rtl="0" eaLnBrk="0" fontAlgn="base" hangingPunct="0">
            <a:spcBef>
              <a:spcPts val="600"/>
            </a:spcBef>
            <a:spcAft>
              <a:spcPct val="0"/>
            </a:spcAft>
            <a:buClr>
              <a:schemeClr val="accent1"/>
            </a:buClr>
            <a:buSzPct val="80000"/>
            <a:buFont typeface="Wingdings 2" pitchFamily="18" charset="2"/>
            <a:buChar char="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39763" indent="-236538" algn="l" rtl="0" eaLnBrk="0" fontAlgn="base" hangingPunct="0">
            <a:spcBef>
              <a:spcPts val="550"/>
            </a:spcBef>
            <a:spcAft>
              <a:spcPct val="0"/>
            </a:spcAft>
            <a:buClr>
              <a:schemeClr val="accent1"/>
            </a:buClr>
            <a:buFont typeface="Verdana" pitchFamily="34" charset="0"/>
            <a:buChar char="◦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885825" indent="-228600" algn="l" rtl="0" eaLnBrk="0" fontAlgn="base" hangingPunct="0">
            <a:spcBef>
              <a:spcPct val="20000"/>
            </a:spcBef>
            <a:spcAft>
              <a:spcPct val="0"/>
            </a:spcAft>
            <a:buClr>
              <a:schemeClr val="accent2"/>
            </a:buClr>
            <a:buFont typeface="Wingdings 2" pitchFamily="18" charset="2"/>
            <a:buChar char="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096963" indent="-173038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C32D2E"/>
            </a:buClr>
            <a:buFont typeface="Wingdings 2" pitchFamily="18" charset="2"/>
            <a:buChar char="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296988" indent="-182563" algn="l" rtl="0" eaLnBrk="0" fontAlgn="base" hangingPunct="0">
            <a:spcBef>
              <a:spcPct val="20000"/>
            </a:spcBef>
            <a:spcAft>
              <a:spcPct val="0"/>
            </a:spcAft>
            <a:buClr>
              <a:srgbClr val="84AA33"/>
            </a:buClr>
            <a:buFont typeface="Wingdings 2" pitchFamily="18" charset="2"/>
            <a:buChar char="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508760" indent="-182880" algn="l" rtl="0" eaLnBrk="1" latinLnBrk="0" hangingPunct="1">
            <a:lnSpc>
              <a:spcPct val="100000"/>
            </a:lnSpc>
            <a:spcBef>
              <a:spcPct val="20000"/>
            </a:spcBef>
            <a:buClr>
              <a:schemeClr val="accent5"/>
            </a:buClr>
            <a:buFont typeface="Wingdings 2"/>
            <a:buChar char=""/>
            <a:defRPr kumimoji="0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1719072" indent="-182880" algn="l" rtl="0" eaLnBrk="1" latinLnBrk="0" hangingPunct="1">
            <a:lnSpc>
              <a:spcPct val="100000"/>
            </a:lnSpc>
            <a:spcBef>
              <a:spcPct val="20000"/>
            </a:spcBef>
            <a:buClr>
              <a:schemeClr val="accent6"/>
            </a:buClr>
            <a:buFont typeface="Wingdings 2"/>
            <a:buChar char=""/>
            <a:defRPr kumimoji="0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1920240" indent="-182880" algn="l" rtl="0" eaLnBrk="1" latinLnBrk="0" hangingPunct="1">
            <a:lnSpc>
              <a:spcPct val="100000"/>
            </a:lnSpc>
            <a:spcBef>
              <a:spcPct val="20000"/>
            </a:spcBef>
            <a:buClr>
              <a:schemeClr val="accent6"/>
            </a:buClr>
            <a:buFont typeface="Wingdings 2"/>
            <a:buChar char=""/>
            <a:defRPr kumimoji="0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2130552" indent="-182880" algn="l" rtl="0" eaLnBrk="1" latinLnBrk="0" hangingPunct="1">
            <a:lnSpc>
              <a:spcPct val="100000"/>
            </a:lnSpc>
            <a:spcBef>
              <a:spcPct val="20000"/>
            </a:spcBef>
            <a:buClr>
              <a:schemeClr val="accent6"/>
            </a:buClr>
            <a:buFont typeface="Wingdings 2"/>
            <a:buChar char=""/>
            <a:defRPr kumimoji="0"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  <a:extLst/>
        </a:lstStyle>
        <a:p>
          <a:pPr algn="ctr" eaLnBrk="1" hangingPunct="1"/>
          <a:r>
            <a:rPr lang="pt-BR" sz="2400" b="1" i="1"/>
            <a:t>GANHO DE INFORMAÇÃO</a:t>
          </a:r>
        </a:p>
        <a:p>
          <a:pPr eaLnBrk="1" hangingPunct="1"/>
          <a:r>
            <a:rPr lang="pt-BR" sz="2400" i="1"/>
            <a:t>Gain(S,A) = redução esperada na entropia devido a ordenação sobre A, ou seja, a redução esperada na entropia causada pela partição dos exemplos de acordo com este atributo A</a:t>
          </a:r>
        </a:p>
        <a:p>
          <a:pPr eaLnBrk="1" hangingPunct="1"/>
          <a:endParaRPr lang="pt-BR" sz="2400"/>
        </a:p>
      </xdr:txBody>
    </xdr:sp>
    <xdr:clientData/>
  </xdr:twoCellAnchor>
  <xdr:twoCellAnchor editAs="oneCell">
    <xdr:from>
      <xdr:col>1</xdr:col>
      <xdr:colOff>314325</xdr:colOff>
      <xdr:row>42</xdr:row>
      <xdr:rowOff>57150</xdr:rowOff>
    </xdr:from>
    <xdr:to>
      <xdr:col>13</xdr:col>
      <xdr:colOff>314325</xdr:colOff>
      <xdr:row>45</xdr:row>
      <xdr:rowOff>9525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1EF68983-444A-404A-801B-55E29F37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23925" y="8324850"/>
          <a:ext cx="731520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3</xdr:row>
      <xdr:rowOff>38100</xdr:rowOff>
    </xdr:from>
    <xdr:to>
      <xdr:col>6</xdr:col>
      <xdr:colOff>314325</xdr:colOff>
      <xdr:row>7</xdr:row>
      <xdr:rowOff>57150</xdr:rowOff>
    </xdr:to>
    <xdr:sp macro="" textlink="">
      <xdr:nvSpPr>
        <xdr:cNvPr id="11" name="Seta: para a Direita 10">
          <a:extLst>
            <a:ext uri="{FF2B5EF4-FFF2-40B4-BE49-F238E27FC236}">
              <a16:creationId xmlns:a16="http://schemas.microsoft.com/office/drawing/2014/main" id="{AC32C176-0B74-4702-BB6F-3D5ECD7E0C4A}"/>
            </a:ext>
          </a:extLst>
        </xdr:cNvPr>
        <xdr:cNvSpPr/>
      </xdr:nvSpPr>
      <xdr:spPr>
        <a:xfrm>
          <a:off x="6648450" y="866775"/>
          <a:ext cx="2152650" cy="1123950"/>
        </a:xfrm>
        <a:prstGeom prst="rightArrow">
          <a:avLst/>
        </a:prstGeom>
        <a:gradFill flip="none" rotWithShape="1">
          <a:gsLst>
            <a:gs pos="0">
              <a:schemeClr val="accent5">
                <a:lumMod val="67000"/>
              </a:schemeClr>
            </a:gs>
            <a:gs pos="48000">
              <a:schemeClr val="accent5">
                <a:lumMod val="97000"/>
                <a:lumOff val="3000"/>
              </a:schemeClr>
            </a:gs>
            <a:gs pos="100000">
              <a:schemeClr val="accent5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3600"/>
            <a:t>ID3</a:t>
          </a:r>
        </a:p>
      </xdr:txBody>
    </xdr:sp>
    <xdr:clientData/>
  </xdr:twoCellAnchor>
  <xdr:twoCellAnchor>
    <xdr:from>
      <xdr:col>5</xdr:col>
      <xdr:colOff>290512</xdr:colOff>
      <xdr:row>31</xdr:row>
      <xdr:rowOff>104775</xdr:rowOff>
    </xdr:from>
    <xdr:to>
      <xdr:col>6</xdr:col>
      <xdr:colOff>123825</xdr:colOff>
      <xdr:row>34</xdr:row>
      <xdr:rowOff>114300</xdr:rowOff>
    </xdr:to>
    <xdr:sp macro="" textlink="">
      <xdr:nvSpPr>
        <xdr:cNvPr id="14" name="Seta: para Baixo 13">
          <a:extLst>
            <a:ext uri="{FF2B5EF4-FFF2-40B4-BE49-F238E27FC236}">
              <a16:creationId xmlns:a16="http://schemas.microsoft.com/office/drawing/2014/main" id="{A58A568B-3E55-4B8B-BECE-2003190805D8}"/>
            </a:ext>
          </a:extLst>
        </xdr:cNvPr>
        <xdr:cNvSpPr/>
      </xdr:nvSpPr>
      <xdr:spPr>
        <a:xfrm>
          <a:off x="7086600" y="7529513"/>
          <a:ext cx="1519238" cy="647700"/>
        </a:xfrm>
        <a:prstGeom prst="down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2000" b="1"/>
            <a:t>ID3</a:t>
          </a:r>
        </a:p>
      </xdr:txBody>
    </xdr:sp>
    <xdr:clientData/>
  </xdr:twoCellAnchor>
  <xdr:twoCellAnchor editAs="oneCell">
    <xdr:from>
      <xdr:col>2</xdr:col>
      <xdr:colOff>1419225</xdr:colOff>
      <xdr:row>35</xdr:row>
      <xdr:rowOff>28575</xdr:rowOff>
    </xdr:from>
    <xdr:to>
      <xdr:col>10</xdr:col>
      <xdr:colOff>646078</xdr:colOff>
      <xdr:row>52</xdr:row>
      <xdr:rowOff>122195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D7EC75EF-92A3-4AB6-9866-B48EB0949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1075" y="8582025"/>
          <a:ext cx="7685053" cy="3170195"/>
        </a:xfrm>
        <a:prstGeom prst="rect">
          <a:avLst/>
        </a:prstGeom>
      </xdr:spPr>
    </xdr:pic>
    <xdr:clientData/>
  </xdr:twoCellAnchor>
  <xdr:twoCellAnchor editAs="oneCell">
    <xdr:from>
      <xdr:col>5</xdr:col>
      <xdr:colOff>38098</xdr:colOff>
      <xdr:row>54</xdr:row>
      <xdr:rowOff>57151</xdr:rowOff>
    </xdr:from>
    <xdr:to>
      <xdr:col>13</xdr:col>
      <xdr:colOff>626718</xdr:colOff>
      <xdr:row>65</xdr:row>
      <xdr:rowOff>134938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A3B861D6-9699-42BD-BB65-BDF49CB40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6661" y="11876089"/>
          <a:ext cx="6827495" cy="3038474"/>
        </a:xfrm>
        <a:prstGeom prst="rect">
          <a:avLst/>
        </a:prstGeom>
      </xdr:spPr>
    </xdr:pic>
    <xdr:clientData/>
  </xdr:twoCellAnchor>
  <xdr:twoCellAnchor editAs="oneCell">
    <xdr:from>
      <xdr:col>5</xdr:col>
      <xdr:colOff>95251</xdr:colOff>
      <xdr:row>67</xdr:row>
      <xdr:rowOff>171449</xdr:rowOff>
    </xdr:from>
    <xdr:to>
      <xdr:col>13</xdr:col>
      <xdr:colOff>436562</xdr:colOff>
      <xdr:row>78</xdr:row>
      <xdr:rowOff>139175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7E40EF2C-5DFE-402E-B08B-60849461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43814" y="15324137"/>
          <a:ext cx="6580186" cy="2928413"/>
        </a:xfrm>
        <a:prstGeom prst="rect">
          <a:avLst/>
        </a:prstGeom>
      </xdr:spPr>
    </xdr:pic>
    <xdr:clientData/>
  </xdr:twoCellAnchor>
  <xdr:twoCellAnchor editAs="oneCell">
    <xdr:from>
      <xdr:col>4</xdr:col>
      <xdr:colOff>619126</xdr:colOff>
      <xdr:row>80</xdr:row>
      <xdr:rowOff>29573</xdr:rowOff>
    </xdr:from>
    <xdr:to>
      <xdr:col>12</xdr:col>
      <xdr:colOff>619125</xdr:colOff>
      <xdr:row>90</xdr:row>
      <xdr:rowOff>30200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B30B01E7-EAE5-4583-AB25-CA237A947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67514" y="18250898"/>
          <a:ext cx="6215062" cy="2720015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93</xdr:row>
      <xdr:rowOff>80963</xdr:rowOff>
    </xdr:from>
    <xdr:to>
      <xdr:col>13</xdr:col>
      <xdr:colOff>19048</xdr:colOff>
      <xdr:row>103</xdr:row>
      <xdr:rowOff>67908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291D18F5-11BE-442E-95AC-567018277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57988" y="21569363"/>
          <a:ext cx="6272211" cy="2706334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106</xdr:row>
      <xdr:rowOff>119063</xdr:rowOff>
    </xdr:from>
    <xdr:to>
      <xdr:col>12</xdr:col>
      <xdr:colOff>640527</xdr:colOff>
      <xdr:row>116</xdr:row>
      <xdr:rowOff>76200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7497DC6-6170-4CCD-AD5A-CE57484B7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05614" y="24874538"/>
          <a:ext cx="6203126" cy="2676525"/>
        </a:xfrm>
        <a:prstGeom prst="rect">
          <a:avLst/>
        </a:prstGeom>
      </xdr:spPr>
    </xdr:pic>
    <xdr:clientData/>
  </xdr:twoCellAnchor>
  <xdr:twoCellAnchor editAs="oneCell">
    <xdr:from>
      <xdr:col>5</xdr:col>
      <xdr:colOff>14289</xdr:colOff>
      <xdr:row>119</xdr:row>
      <xdr:rowOff>52389</xdr:rowOff>
    </xdr:from>
    <xdr:to>
      <xdr:col>12</xdr:col>
      <xdr:colOff>638176</xdr:colOff>
      <xdr:row>129</xdr:row>
      <xdr:rowOff>47358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965D0467-F2F3-409E-B597-25600D9B1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10377" y="28074939"/>
          <a:ext cx="6191250" cy="270959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13</xdr:col>
      <xdr:colOff>114300</xdr:colOff>
      <xdr:row>142</xdr:row>
      <xdr:rowOff>57497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A47EC400-ED53-41A5-93A5-8405BEF9B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96088" y="31289625"/>
          <a:ext cx="6334125" cy="2772123"/>
        </a:xfrm>
        <a:prstGeom prst="rect">
          <a:avLst/>
        </a:prstGeom>
      </xdr:spPr>
    </xdr:pic>
    <xdr:clientData/>
  </xdr:twoCellAnchor>
  <xdr:twoCellAnchor editAs="oneCell">
    <xdr:from>
      <xdr:col>5</xdr:col>
      <xdr:colOff>52389</xdr:colOff>
      <xdr:row>145</xdr:row>
      <xdr:rowOff>76201</xdr:rowOff>
    </xdr:from>
    <xdr:to>
      <xdr:col>13</xdr:col>
      <xdr:colOff>133350</xdr:colOff>
      <xdr:row>155</xdr:row>
      <xdr:rowOff>114345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B87D32C9-728B-41CD-999C-BFCAA64A4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48477" y="34632901"/>
          <a:ext cx="6300786" cy="2757532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158</xdr:row>
      <xdr:rowOff>29863</xdr:rowOff>
    </xdr:from>
    <xdr:to>
      <xdr:col>13</xdr:col>
      <xdr:colOff>123825</xdr:colOff>
      <xdr:row>168</xdr:row>
      <xdr:rowOff>49248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21955A4F-8962-4931-AB0B-9686255EB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81813" y="37853638"/>
          <a:ext cx="6257925" cy="2738774"/>
        </a:xfrm>
        <a:prstGeom prst="rect">
          <a:avLst/>
        </a:prstGeom>
      </xdr:spPr>
    </xdr:pic>
    <xdr:clientData/>
  </xdr:twoCellAnchor>
  <xdr:twoCellAnchor>
    <xdr:from>
      <xdr:col>1</xdr:col>
      <xdr:colOff>338137</xdr:colOff>
      <xdr:row>182</xdr:row>
      <xdr:rowOff>133350</xdr:rowOff>
    </xdr:from>
    <xdr:to>
      <xdr:col>3</xdr:col>
      <xdr:colOff>1695449</xdr:colOff>
      <xdr:row>192</xdr:row>
      <xdr:rowOff>90487</xdr:rowOff>
    </xdr:to>
    <xdr:sp macro="" textlink="">
      <xdr:nvSpPr>
        <xdr:cNvPr id="94" name="Balão de Fala: Retângulo 93">
          <a:extLst>
            <a:ext uri="{FF2B5EF4-FFF2-40B4-BE49-F238E27FC236}">
              <a16:creationId xmlns:a16="http://schemas.microsoft.com/office/drawing/2014/main" id="{58DA9DE4-4D32-482E-A1A9-3990FEEC6266}"/>
            </a:ext>
          </a:extLst>
        </xdr:cNvPr>
        <xdr:cNvSpPr/>
      </xdr:nvSpPr>
      <xdr:spPr>
        <a:xfrm>
          <a:off x="2024062" y="44124563"/>
          <a:ext cx="4014787" cy="1766887"/>
        </a:xfrm>
        <a:prstGeom prst="wedgeRectCallout">
          <a:avLst>
            <a:gd name="adj1" fmla="val 30379"/>
            <a:gd name="adj2" fmla="val -70919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>
              <a:solidFill>
                <a:srgbClr val="FF0000"/>
              </a:solidFill>
            </a:rPr>
            <a:t>Classe da maioria: no </a:t>
          </a:r>
          <a:r>
            <a:rPr lang="pt-BR" sz="2000" u="sng">
              <a:solidFill>
                <a:srgbClr val="FF0000"/>
              </a:solidFill>
            </a:rPr>
            <a:t>atributo meta</a:t>
          </a:r>
          <a:r>
            <a:rPr lang="pt-BR" sz="2000">
              <a:solidFill>
                <a:srgbClr val="FF0000"/>
              </a:solidFill>
            </a:rPr>
            <a:t>!</a:t>
          </a:r>
        </a:p>
        <a:p>
          <a:pPr algn="l"/>
          <a:endParaRPr lang="pt-BR" sz="2000">
            <a:solidFill>
              <a:srgbClr val="FF0000"/>
            </a:solidFill>
          </a:endParaRPr>
        </a:p>
        <a:p>
          <a:pPr algn="l"/>
          <a:r>
            <a:rPr lang="pt-BR" sz="2000">
              <a:solidFill>
                <a:srgbClr val="FF0000"/>
              </a:solidFill>
            </a:rPr>
            <a:t>Contando.... 4 SIM e 5 NÃO.</a:t>
          </a:r>
        </a:p>
        <a:p>
          <a:pPr algn="l"/>
          <a:endParaRPr lang="pt-BR" sz="2000">
            <a:solidFill>
              <a:srgbClr val="FF0000"/>
            </a:solidFill>
          </a:endParaRPr>
        </a:p>
        <a:p>
          <a:pPr algn="l"/>
          <a:r>
            <a:rPr lang="pt-BR" sz="2000">
              <a:solidFill>
                <a:srgbClr val="FF0000"/>
              </a:solidFill>
            </a:rPr>
            <a:t>Portanto... maioria = NÃO!</a:t>
          </a:r>
        </a:p>
      </xdr:txBody>
    </xdr:sp>
    <xdr:clientData/>
  </xdr:twoCellAnchor>
  <xdr:twoCellAnchor editAs="oneCell">
    <xdr:from>
      <xdr:col>5</xdr:col>
      <xdr:colOff>0</xdr:colOff>
      <xdr:row>171</xdr:row>
      <xdr:rowOff>0</xdr:rowOff>
    </xdr:from>
    <xdr:to>
      <xdr:col>15</xdr:col>
      <xdr:colOff>361490</xdr:colOff>
      <xdr:row>187</xdr:row>
      <xdr:rowOff>47768</xdr:rowOff>
    </xdr:to>
    <xdr:pic>
      <xdr:nvPicPr>
        <xdr:cNvPr id="158" name="Imagem 157">
          <a:extLst>
            <a:ext uri="{FF2B5EF4-FFF2-40B4-BE49-F238E27FC236}">
              <a16:creationId xmlns:a16="http://schemas.microsoft.com/office/drawing/2014/main" id="{B666747E-C44B-45ED-BE6B-DC13458F5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96088" y="41090850"/>
          <a:ext cx="7876715" cy="3853006"/>
        </a:xfrm>
        <a:prstGeom prst="rect">
          <a:avLst/>
        </a:prstGeom>
      </xdr:spPr>
    </xdr:pic>
    <xdr:clientData/>
  </xdr:twoCellAnchor>
  <xdr:twoCellAnchor>
    <xdr:from>
      <xdr:col>1</xdr:col>
      <xdr:colOff>571501</xdr:colOff>
      <xdr:row>199</xdr:row>
      <xdr:rowOff>138113</xdr:rowOff>
    </xdr:from>
    <xdr:to>
      <xdr:col>4</xdr:col>
      <xdr:colOff>123825</xdr:colOff>
      <xdr:row>209</xdr:row>
      <xdr:rowOff>152400</xdr:rowOff>
    </xdr:to>
    <xdr:sp macro="" textlink="">
      <xdr:nvSpPr>
        <xdr:cNvPr id="159" name="Retângulo 158">
          <a:extLst>
            <a:ext uri="{FF2B5EF4-FFF2-40B4-BE49-F238E27FC236}">
              <a16:creationId xmlns:a16="http://schemas.microsoft.com/office/drawing/2014/main" id="{49239D3C-DEE4-4B50-A89E-F0F2B03122CB}"/>
            </a:ext>
          </a:extLst>
        </xdr:cNvPr>
        <xdr:cNvSpPr/>
      </xdr:nvSpPr>
      <xdr:spPr>
        <a:xfrm>
          <a:off x="2257426" y="47205901"/>
          <a:ext cx="4014787" cy="1824037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800">
              <a:solidFill>
                <a:schemeClr val="tx1">
                  <a:lumMod val="95000"/>
                  <a:lumOff val="5000"/>
                </a:schemeClr>
              </a:solidFill>
            </a:rPr>
            <a:t>Procedimento de PODA</a:t>
          </a:r>
        </a:p>
        <a:p>
          <a:pPr algn="l"/>
          <a:endParaRPr lang="pt-BR" sz="2800">
            <a:solidFill>
              <a:schemeClr val="tx1">
                <a:lumMod val="95000"/>
                <a:lumOff val="5000"/>
              </a:schemeClr>
            </a:solidFill>
          </a:endParaRPr>
        </a:p>
        <a:p>
          <a:pPr algn="l"/>
          <a:r>
            <a:rPr lang="pt-BR" sz="2800">
              <a:solidFill>
                <a:schemeClr val="tx1">
                  <a:lumMod val="95000"/>
                  <a:lumOff val="5000"/>
                </a:schemeClr>
              </a:solidFill>
            </a:rPr>
            <a:t>Reunir decisões IGUAIS!</a:t>
          </a:r>
        </a:p>
      </xdr:txBody>
    </xdr:sp>
    <xdr:clientData/>
  </xdr:twoCellAnchor>
  <xdr:twoCellAnchor editAs="oneCell">
    <xdr:from>
      <xdr:col>5</xdr:col>
      <xdr:colOff>0</xdr:colOff>
      <xdr:row>191</xdr:row>
      <xdr:rowOff>0</xdr:rowOff>
    </xdr:from>
    <xdr:to>
      <xdr:col>16</xdr:col>
      <xdr:colOff>420987</xdr:colOff>
      <xdr:row>213</xdr:row>
      <xdr:rowOff>83600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E93863F8-065B-4B8E-A95C-F1928A99D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96088" y="45619988"/>
          <a:ext cx="8583912" cy="4060288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226</xdr:row>
      <xdr:rowOff>119062</xdr:rowOff>
    </xdr:from>
    <xdr:to>
      <xdr:col>14</xdr:col>
      <xdr:colOff>57705</xdr:colOff>
      <xdr:row>245</xdr:row>
      <xdr:rowOff>39724</xdr:rowOff>
    </xdr:to>
    <xdr:pic>
      <xdr:nvPicPr>
        <xdr:cNvPr id="163" name="Imagem 162">
          <a:extLst>
            <a:ext uri="{FF2B5EF4-FFF2-40B4-BE49-F238E27FC236}">
              <a16:creationId xmlns:a16="http://schemas.microsoft.com/office/drawing/2014/main" id="{7C3EEF55-FAF2-483F-95C6-20DE1406F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9963" y="52073175"/>
          <a:ext cx="6401355" cy="3359187"/>
        </a:xfrm>
        <a:prstGeom prst="rect">
          <a:avLst/>
        </a:prstGeom>
      </xdr:spPr>
    </xdr:pic>
    <xdr:clientData/>
  </xdr:twoCellAnchor>
  <xdr:twoCellAnchor>
    <xdr:from>
      <xdr:col>6</xdr:col>
      <xdr:colOff>557211</xdr:colOff>
      <xdr:row>215</xdr:row>
      <xdr:rowOff>28575</xdr:rowOff>
    </xdr:from>
    <xdr:to>
      <xdr:col>13</xdr:col>
      <xdr:colOff>361950</xdr:colOff>
      <xdr:row>225</xdr:row>
      <xdr:rowOff>85725</xdr:rowOff>
    </xdr:to>
    <xdr:sp macro="" textlink="">
      <xdr:nvSpPr>
        <xdr:cNvPr id="164" name="Seta: para Baixo 163">
          <a:extLst>
            <a:ext uri="{FF2B5EF4-FFF2-40B4-BE49-F238E27FC236}">
              <a16:creationId xmlns:a16="http://schemas.microsoft.com/office/drawing/2014/main" id="{2FCE70DA-79AC-499B-B47A-642129EAD10A}"/>
            </a:ext>
          </a:extLst>
        </xdr:cNvPr>
        <xdr:cNvSpPr/>
      </xdr:nvSpPr>
      <xdr:spPr>
        <a:xfrm>
          <a:off x="9039224" y="49991963"/>
          <a:ext cx="4338639" cy="1866900"/>
        </a:xfrm>
        <a:prstGeom prst="down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800"/>
            <a:t>Árvore</a:t>
          </a:r>
          <a:r>
            <a:rPr lang="pt-BR" sz="2800" baseline="0"/>
            <a:t> final após a poda!</a:t>
          </a:r>
          <a:endParaRPr lang="pt-BR" sz="2800"/>
        </a:p>
      </xdr:txBody>
    </xdr:sp>
    <xdr:clientData/>
  </xdr:twoCellAnchor>
  <xdr:twoCellAnchor editAs="oneCell">
    <xdr:from>
      <xdr:col>6</xdr:col>
      <xdr:colOff>442912</xdr:colOff>
      <xdr:row>0</xdr:row>
      <xdr:rowOff>23812</xdr:rowOff>
    </xdr:from>
    <xdr:to>
      <xdr:col>16</xdr:col>
      <xdr:colOff>372029</xdr:colOff>
      <xdr:row>12</xdr:row>
      <xdr:rowOff>217056</xdr:rowOff>
    </xdr:to>
    <xdr:pic>
      <xdr:nvPicPr>
        <xdr:cNvPr id="165" name="Imagem 164">
          <a:extLst>
            <a:ext uri="{FF2B5EF4-FFF2-40B4-BE49-F238E27FC236}">
              <a16:creationId xmlns:a16="http://schemas.microsoft.com/office/drawing/2014/main" id="{B8565580-B447-4F51-A380-FB3FBB2FA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24925" y="23812"/>
          <a:ext cx="6401355" cy="3359187"/>
        </a:xfrm>
        <a:prstGeom prst="rect">
          <a:avLst/>
        </a:prstGeom>
      </xdr:spPr>
    </xdr:pic>
    <xdr:clientData/>
  </xdr:twoCellAnchor>
  <xdr:twoCellAnchor>
    <xdr:from>
      <xdr:col>2</xdr:col>
      <xdr:colOff>1277470</xdr:colOff>
      <xdr:row>227</xdr:row>
      <xdr:rowOff>117662</xdr:rowOff>
    </xdr:from>
    <xdr:to>
      <xdr:col>5</xdr:col>
      <xdr:colOff>172050</xdr:colOff>
      <xdr:row>241</xdr:row>
      <xdr:rowOff>70437</xdr:rowOff>
    </xdr:to>
    <xdr:sp macro="" textlink="">
      <xdr:nvSpPr>
        <xdr:cNvPr id="167" name="Seta: para a Direita 166">
          <a:extLst>
            <a:ext uri="{FF2B5EF4-FFF2-40B4-BE49-F238E27FC236}">
              <a16:creationId xmlns:a16="http://schemas.microsoft.com/office/drawing/2014/main" id="{DCF93592-2591-4520-AB5A-478017AE42A4}"/>
            </a:ext>
          </a:extLst>
        </xdr:cNvPr>
        <xdr:cNvSpPr/>
      </xdr:nvSpPr>
      <xdr:spPr>
        <a:xfrm>
          <a:off x="4650441" y="52465941"/>
          <a:ext cx="3079977" cy="2462893"/>
        </a:xfrm>
        <a:prstGeom prst="right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ÁRVORE FINAL SEM RECURSIVIDADE!</a:t>
          </a:r>
          <a:endParaRPr lang="pt-BR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617083</xdr:colOff>
      <xdr:row>24</xdr:row>
      <xdr:rowOff>48423</xdr:rowOff>
    </xdr:from>
    <xdr:to>
      <xdr:col>9</xdr:col>
      <xdr:colOff>535441</xdr:colOff>
      <xdr:row>32</xdr:row>
      <xdr:rowOff>48665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39E334E-2987-410C-99CA-75C013159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5333" y="6028762"/>
          <a:ext cx="4308703" cy="1850814"/>
        </a:xfrm>
        <a:prstGeom prst="rect">
          <a:avLst/>
        </a:prstGeom>
      </xdr:spPr>
    </xdr:pic>
    <xdr:clientData/>
  </xdr:twoCellAnchor>
  <xdr:twoCellAnchor editAs="oneCell">
    <xdr:from>
      <xdr:col>5</xdr:col>
      <xdr:colOff>406399</xdr:colOff>
      <xdr:row>40</xdr:row>
      <xdr:rowOff>107042</xdr:rowOff>
    </xdr:from>
    <xdr:to>
      <xdr:col>13</xdr:col>
      <xdr:colOff>649657</xdr:colOff>
      <xdr:row>52</xdr:row>
      <xdr:rowOff>45531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2D1AC97-F5FB-4383-84F6-07ABA03A7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4399" y="10028917"/>
          <a:ext cx="5450258" cy="2838852"/>
        </a:xfrm>
        <a:prstGeom prst="rect">
          <a:avLst/>
        </a:prstGeom>
      </xdr:spPr>
    </xdr:pic>
    <xdr:clientData/>
  </xdr:twoCellAnchor>
  <xdr:twoCellAnchor editAs="oneCell">
    <xdr:from>
      <xdr:col>6</xdr:col>
      <xdr:colOff>278596</xdr:colOff>
      <xdr:row>53</xdr:row>
      <xdr:rowOff>148415</xdr:rowOff>
    </xdr:from>
    <xdr:to>
      <xdr:col>13</xdr:col>
      <xdr:colOff>618277</xdr:colOff>
      <xdr:row>63</xdr:row>
      <xdr:rowOff>254024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398486B-021E-4BEC-AFB7-DB1316C63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7471" y="13205603"/>
          <a:ext cx="4895806" cy="2510671"/>
        </a:xfrm>
        <a:prstGeom prst="rect">
          <a:avLst/>
        </a:prstGeom>
      </xdr:spPr>
    </xdr:pic>
    <xdr:clientData/>
  </xdr:twoCellAnchor>
  <xdr:twoCellAnchor editAs="oneCell">
    <xdr:from>
      <xdr:col>4</xdr:col>
      <xdr:colOff>434521</xdr:colOff>
      <xdr:row>66</xdr:row>
      <xdr:rowOff>145936</xdr:rowOff>
    </xdr:from>
    <xdr:to>
      <xdr:col>12</xdr:col>
      <xdr:colOff>43937</xdr:colOff>
      <xdr:row>72</xdr:row>
      <xdr:rowOff>2794842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D8E0DBE-3A63-4E3D-A05A-3EA581362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2771" y="16346374"/>
          <a:ext cx="5975291" cy="4220531"/>
        </a:xfrm>
        <a:prstGeom prst="rect">
          <a:avLst/>
        </a:prstGeom>
      </xdr:spPr>
    </xdr:pic>
    <xdr:clientData/>
  </xdr:twoCellAnchor>
  <xdr:twoCellAnchor editAs="oneCell">
    <xdr:from>
      <xdr:col>4</xdr:col>
      <xdr:colOff>778244</xdr:colOff>
      <xdr:row>74</xdr:row>
      <xdr:rowOff>72005</xdr:rowOff>
    </xdr:from>
    <xdr:to>
      <xdr:col>10</xdr:col>
      <xdr:colOff>401805</xdr:colOff>
      <xdr:row>89</xdr:row>
      <xdr:rowOff>56356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6AED000-05B0-4F5B-8866-B22676D5C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06651" y="20705537"/>
          <a:ext cx="4663873" cy="3087120"/>
        </a:xfrm>
        <a:prstGeom prst="rect">
          <a:avLst/>
        </a:prstGeom>
      </xdr:spPr>
    </xdr:pic>
    <xdr:clientData/>
  </xdr:twoCellAnchor>
  <xdr:twoCellAnchor editAs="oneCell">
    <xdr:from>
      <xdr:col>4</xdr:col>
      <xdr:colOff>392566</xdr:colOff>
      <xdr:row>92</xdr:row>
      <xdr:rowOff>15340</xdr:rowOff>
    </xdr:from>
    <xdr:to>
      <xdr:col>8</xdr:col>
      <xdr:colOff>438150</xdr:colOff>
      <xdr:row>104</xdr:row>
      <xdr:rowOff>65723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52CD3BC-0BB9-48BF-ADA5-0B8A1D518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40816" y="24610251"/>
          <a:ext cx="3789590" cy="2249978"/>
        </a:xfrm>
        <a:prstGeom prst="rect">
          <a:avLst/>
        </a:prstGeom>
      </xdr:spPr>
    </xdr:pic>
    <xdr:clientData/>
  </xdr:twoCellAnchor>
  <xdr:twoCellAnchor editAs="oneCell">
    <xdr:from>
      <xdr:col>5</xdr:col>
      <xdr:colOff>154441</xdr:colOff>
      <xdr:row>0</xdr:row>
      <xdr:rowOff>6804</xdr:rowOff>
    </xdr:from>
    <xdr:to>
      <xdr:col>12</xdr:col>
      <xdr:colOff>219778</xdr:colOff>
      <xdr:row>10</xdr:row>
      <xdr:rowOff>11297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4627444-BCD0-4FD9-A1DB-A40961C1F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12441" y="6804"/>
          <a:ext cx="4589712" cy="2789195"/>
        </a:xfrm>
        <a:prstGeom prst="rect">
          <a:avLst/>
        </a:prstGeom>
      </xdr:spPr>
    </xdr:pic>
    <xdr:clientData/>
  </xdr:twoCellAnchor>
  <xdr:twoCellAnchor>
    <xdr:from>
      <xdr:col>1</xdr:col>
      <xdr:colOff>331334</xdr:colOff>
      <xdr:row>91</xdr:row>
      <xdr:rowOff>154441</xdr:rowOff>
    </xdr:from>
    <xdr:to>
      <xdr:col>3</xdr:col>
      <xdr:colOff>1113745</xdr:colOff>
      <xdr:row>105</xdr:row>
      <xdr:rowOff>45584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55DC9B8B-CD2B-477F-BD46-195EF666A5BF}"/>
            </a:ext>
          </a:extLst>
        </xdr:cNvPr>
        <xdr:cNvSpPr/>
      </xdr:nvSpPr>
      <xdr:spPr>
        <a:xfrm>
          <a:off x="1855334" y="24565655"/>
          <a:ext cx="3075215" cy="2462893"/>
        </a:xfrm>
        <a:prstGeom prst="right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0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ÁRVORE FINAL COM RECURSIVIDADE!</a:t>
          </a:r>
          <a:endParaRPr lang="pt-BR" sz="20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7D963-36F2-4522-A096-B7587892A7B4}" name="Tabela1" displayName="Tabela1" ref="A1:E10" totalsRowShown="0" headerRowDxfId="7" dataDxfId="6" tableBorderDxfId="5">
  <autoFilter ref="A1:E10" xr:uid="{50B2DD6E-3B0B-4E7A-BF88-CEDD78B00794}"/>
  <tableColumns count="5">
    <tableColumn id="1" xr3:uid="{D8EADFA6-1C0B-471C-852B-4448A4C450F2}" name="ID" dataDxfId="4"/>
    <tableColumn id="2" xr3:uid="{B47CD3A8-6251-4BF8-84AD-8E73A949F77C}" name="Faixa etária" dataDxfId="3"/>
    <tableColumn id="3" xr3:uid="{D8025058-93C9-48F7-AC52-6D0B6AFC5CE0}" name="Cor" dataDxfId="2"/>
    <tableColumn id="4" xr3:uid="{171B9B40-A957-456F-818A-94F613A98C80}" name="Tamanho" dataDxfId="1"/>
    <tableColumn id="5" xr3:uid="{D386DAE5-9225-433B-9A23-6DB8455F1F7D}" name="Compra camiseta?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1B8B-2C5B-4A39-A669-8786FD7C3101}">
  <dimension ref="A1:P1"/>
  <sheetViews>
    <sheetView workbookViewId="0">
      <selection activeCell="P9" sqref="P9"/>
    </sheetView>
  </sheetViews>
  <sheetFormatPr defaultRowHeight="14.25" x14ac:dyDescent="0.45"/>
  <sheetData>
    <row r="1" spans="1:16" ht="46.15" x14ac:dyDescent="1.35">
      <c r="A1" s="46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</sheetData>
  <mergeCells count="1">
    <mergeCell ref="A1:P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0163-10AB-4E70-93EB-1D622F979C79}">
  <dimension ref="A1:G181"/>
  <sheetViews>
    <sheetView topLeftCell="A44" zoomScale="120" zoomScaleNormal="120" workbookViewId="0">
      <selection activeCell="G33" sqref="G33"/>
    </sheetView>
  </sheetViews>
  <sheetFormatPr defaultRowHeight="14.25" x14ac:dyDescent="0.45"/>
  <cols>
    <col min="1" max="1" width="23.59765625" bestFit="1" customWidth="1"/>
    <col min="2" max="2" width="23.59765625" customWidth="1"/>
    <col min="3" max="3" width="24.06640625" customWidth="1"/>
    <col min="4" max="4" width="25.265625" bestFit="1" customWidth="1"/>
    <col min="6" max="6" width="23.59765625" bestFit="1" customWidth="1"/>
  </cols>
  <sheetData>
    <row r="1" spans="1:4" ht="21.4" thickBot="1" x14ac:dyDescent="0.5">
      <c r="A1" s="1" t="s">
        <v>36</v>
      </c>
      <c r="B1" s="1" t="s">
        <v>1</v>
      </c>
      <c r="C1" s="1" t="s">
        <v>37</v>
      </c>
      <c r="D1" s="1" t="s">
        <v>3</v>
      </c>
    </row>
    <row r="2" spans="1:4" ht="21.75" thickTop="1" thickBot="1" x14ac:dyDescent="0.5">
      <c r="A2" s="2" t="s">
        <v>4</v>
      </c>
      <c r="B2" s="2" t="s">
        <v>5</v>
      </c>
      <c r="C2" s="2" t="s">
        <v>6</v>
      </c>
      <c r="D2" s="2" t="s">
        <v>7</v>
      </c>
    </row>
    <row r="3" spans="1:4" ht="21.4" thickBot="1" x14ac:dyDescent="0.5">
      <c r="A3" s="3" t="s">
        <v>4</v>
      </c>
      <c r="B3" s="3" t="s">
        <v>8</v>
      </c>
      <c r="C3" s="3" t="s">
        <v>9</v>
      </c>
      <c r="D3" s="3" t="s">
        <v>10</v>
      </c>
    </row>
    <row r="4" spans="1:4" ht="21.4" thickBot="1" x14ac:dyDescent="0.5">
      <c r="A4" s="4" t="s">
        <v>11</v>
      </c>
      <c r="B4" s="4" t="s">
        <v>5</v>
      </c>
      <c r="C4" s="4" t="s">
        <v>9</v>
      </c>
      <c r="D4" s="4" t="s">
        <v>10</v>
      </c>
    </row>
    <row r="5" spans="1:4" ht="21.4" thickBot="1" x14ac:dyDescent="0.5">
      <c r="A5" s="3" t="s">
        <v>11</v>
      </c>
      <c r="B5" s="3" t="s">
        <v>8</v>
      </c>
      <c r="C5" s="3" t="s">
        <v>12</v>
      </c>
      <c r="D5" s="3" t="s">
        <v>10</v>
      </c>
    </row>
    <row r="6" spans="1:4" ht="21.4" thickBot="1" x14ac:dyDescent="0.5">
      <c r="A6" s="4" t="s">
        <v>4</v>
      </c>
      <c r="B6" s="4" t="s">
        <v>5</v>
      </c>
      <c r="C6" s="4" t="s">
        <v>6</v>
      </c>
      <c r="D6" s="4" t="s">
        <v>7</v>
      </c>
    </row>
    <row r="7" spans="1:4" ht="21.4" thickBot="1" x14ac:dyDescent="0.5">
      <c r="A7" s="3" t="s">
        <v>4</v>
      </c>
      <c r="B7" s="3" t="s">
        <v>5</v>
      </c>
      <c r="C7" s="3" t="s">
        <v>12</v>
      </c>
      <c r="D7" s="3" t="s">
        <v>10</v>
      </c>
    </row>
    <row r="8" spans="1:4" ht="21.4" thickBot="1" x14ac:dyDescent="0.5">
      <c r="A8" s="4" t="s">
        <v>4</v>
      </c>
      <c r="B8" s="4" t="s">
        <v>8</v>
      </c>
      <c r="C8" s="4" t="s">
        <v>12</v>
      </c>
      <c r="D8" s="4" t="s">
        <v>7</v>
      </c>
    </row>
    <row r="9" spans="1:4" ht="21.4" thickBot="1" x14ac:dyDescent="0.5">
      <c r="A9" s="3" t="s">
        <v>11</v>
      </c>
      <c r="B9" s="3" t="s">
        <v>5</v>
      </c>
      <c r="C9" s="3" t="s">
        <v>6</v>
      </c>
      <c r="D9" s="3" t="s">
        <v>10</v>
      </c>
    </row>
    <row r="10" spans="1:4" ht="21.4" thickBot="1" x14ac:dyDescent="0.5">
      <c r="A10" s="4" t="s">
        <v>4</v>
      </c>
      <c r="B10" s="4" t="s">
        <v>5</v>
      </c>
      <c r="C10" s="4" t="s">
        <v>12</v>
      </c>
      <c r="D10" s="4" t="s">
        <v>7</v>
      </c>
    </row>
    <row r="11" spans="1:4" ht="18" x14ac:dyDescent="0.55000000000000004">
      <c r="A11" s="5">
        <f>COUNTIF($A$2:$A$10,"A")</f>
        <v>6</v>
      </c>
      <c r="B11" s="5">
        <f>COUNTIF($B$2:$B$10,"Azul")</f>
        <v>6</v>
      </c>
      <c r="C11" s="5">
        <f>COUNTIF($C$2:$C$10,"P")</f>
        <v>4</v>
      </c>
      <c r="D11" s="6">
        <f>COUNTIF($D$2:$D$10,"Sim")</f>
        <v>4</v>
      </c>
    </row>
    <row r="12" spans="1:4" ht="18" x14ac:dyDescent="0.55000000000000004">
      <c r="A12" s="5">
        <f>COUNTIF($A$2:$A$10,"B")</f>
        <v>3</v>
      </c>
      <c r="B12" s="5">
        <f>COUNTIF($B$2:$B$10,"Vermelho")</f>
        <v>3</v>
      </c>
      <c r="C12" s="5">
        <f>COUNTIF($C$2:$C$10,"M")</f>
        <v>2</v>
      </c>
      <c r="D12" s="6">
        <f>COUNTIF($D$2:$D$10,"Não")</f>
        <v>5</v>
      </c>
    </row>
    <row r="13" spans="1:4" ht="18" x14ac:dyDescent="0.55000000000000004">
      <c r="A13" s="5" t="s">
        <v>28</v>
      </c>
      <c r="B13" s="5"/>
      <c r="C13" s="5">
        <f>COUNTIF($C$2:$C$10,"G")</f>
        <v>3</v>
      </c>
      <c r="D13" s="6"/>
    </row>
    <row r="14" spans="1:4" ht="18" x14ac:dyDescent="0.55000000000000004">
      <c r="A14" s="28" t="s">
        <v>13</v>
      </c>
      <c r="B14" s="30">
        <f>-(D11/9)*LOG(D11/9,2)-(D12/9)*LOG(D12/9,2)</f>
        <v>0.99107605983822222</v>
      </c>
      <c r="C14" s="8"/>
      <c r="D14" s="8"/>
    </row>
    <row r="15" spans="1:4" ht="18" x14ac:dyDescent="0.55000000000000004">
      <c r="A15" s="8"/>
      <c r="B15" s="8"/>
      <c r="C15" s="8"/>
      <c r="D15" s="8"/>
    </row>
    <row r="16" spans="1:4" ht="18" x14ac:dyDescent="0.55000000000000004">
      <c r="A16" s="8" t="s">
        <v>14</v>
      </c>
      <c r="B16" s="24" t="s">
        <v>7</v>
      </c>
      <c r="C16" s="24" t="s">
        <v>10</v>
      </c>
      <c r="D16" s="9" t="s">
        <v>35</v>
      </c>
    </row>
    <row r="17" spans="1:7" ht="18" x14ac:dyDescent="0.55000000000000004">
      <c r="A17" s="7" t="s">
        <v>15</v>
      </c>
      <c r="B17" s="24">
        <f>COUNTIFS($A$2:$A$10,"a",$D$2:$D$10,"sim")</f>
        <v>4</v>
      </c>
      <c r="C17" s="24">
        <f>COUNTIFS(A2:A10,"a",D2:D10,"não")</f>
        <v>2</v>
      </c>
      <c r="D17" s="25">
        <f>-(B17/6)*LOG(B17/6,2)-(C17/6)*LOG(C17/6,2)</f>
        <v>0.91829583405448956</v>
      </c>
    </row>
    <row r="18" spans="1:7" ht="18" x14ac:dyDescent="0.55000000000000004">
      <c r="A18" s="7" t="s">
        <v>16</v>
      </c>
      <c r="B18" s="24">
        <f>COUNTIFS($A$2:$A$10,"b",$D$2:$D$10,"sim")</f>
        <v>0</v>
      </c>
      <c r="C18" s="24">
        <f>COUNTIFS($A$2:$A$10,"b",$D$2:$D$10,"não")</f>
        <v>3</v>
      </c>
      <c r="D18" s="9">
        <v>0</v>
      </c>
    </row>
    <row r="19" spans="1:7" ht="18" x14ac:dyDescent="0.55000000000000004">
      <c r="A19" s="8"/>
      <c r="B19" s="8"/>
      <c r="C19" s="8"/>
      <c r="D19" s="8"/>
    </row>
    <row r="20" spans="1:7" ht="18" x14ac:dyDescent="0.55000000000000004">
      <c r="A20" s="29" t="s">
        <v>17</v>
      </c>
      <c r="B20" s="31">
        <f>B14-(6/9)*D17-(3/9)*D18</f>
        <v>0.37887883713522919</v>
      </c>
      <c r="C20" s="8"/>
      <c r="D20" s="8"/>
    </row>
    <row r="22" spans="1:7" ht="18" x14ac:dyDescent="0.55000000000000004">
      <c r="A22" s="8" t="s">
        <v>18</v>
      </c>
      <c r="B22" s="9" t="s">
        <v>7</v>
      </c>
      <c r="C22" s="9" t="s">
        <v>10</v>
      </c>
      <c r="D22" s="9" t="s">
        <v>35</v>
      </c>
    </row>
    <row r="23" spans="1:7" ht="18" x14ac:dyDescent="0.55000000000000004">
      <c r="A23" s="7" t="s">
        <v>20</v>
      </c>
      <c r="B23" s="9">
        <f>COUNTIFS($B$2:$B$10,"Azul",$D$2:$D$10,"sim")</f>
        <v>3</v>
      </c>
      <c r="C23" s="9">
        <f>COUNTIFS($B$2:$B$10,"Azul",$D$2:$D$10,"não")</f>
        <v>3</v>
      </c>
      <c r="D23" s="25">
        <f>-(B23/6)*LOG(B23/6,2)-(C23/6)*LOG(C23/6,2)</f>
        <v>1</v>
      </c>
    </row>
    <row r="24" spans="1:7" ht="18" x14ac:dyDescent="0.55000000000000004">
      <c r="A24" s="7" t="s">
        <v>21</v>
      </c>
      <c r="B24" s="9">
        <f>COUNTIFS($B$2:$B$10,"Vermelho",$D$2:$D$10,"sim")</f>
        <v>1</v>
      </c>
      <c r="C24" s="9">
        <f>COUNTIFS($B$2:$B$10,"Vermelho",$D$2:$D$10,"não")</f>
        <v>2</v>
      </c>
      <c r="D24" s="25">
        <f>-(B24/3)*LOG(B24/3,2)-(C24/3)*LOG(C24/3,2)</f>
        <v>0.91829583405448956</v>
      </c>
    </row>
    <row r="25" spans="1:7" ht="18" x14ac:dyDescent="0.55000000000000004">
      <c r="A25" s="8"/>
      <c r="B25" s="8"/>
      <c r="C25" s="8"/>
      <c r="D25" s="8"/>
    </row>
    <row r="26" spans="1:7" ht="18" x14ac:dyDescent="0.55000000000000004">
      <c r="A26" s="29" t="s">
        <v>19</v>
      </c>
      <c r="B26" s="31">
        <f>B14-(6/9)*D23-(3/9)*D24</f>
        <v>1.8310781820059074E-2</v>
      </c>
      <c r="C26" s="8"/>
      <c r="D26" s="8"/>
    </row>
    <row r="28" spans="1:7" ht="18" x14ac:dyDescent="0.55000000000000004">
      <c r="A28" s="8" t="s">
        <v>22</v>
      </c>
      <c r="B28" s="9" t="s">
        <v>7</v>
      </c>
      <c r="C28" s="9" t="s">
        <v>10</v>
      </c>
      <c r="D28" s="9" t="s">
        <v>35</v>
      </c>
    </row>
    <row r="29" spans="1:7" ht="18" x14ac:dyDescent="0.55000000000000004">
      <c r="A29" s="7" t="s">
        <v>23</v>
      </c>
      <c r="B29" s="9">
        <f>COUNTIFS($C$2:$C$10,"P",$D$2:$D$10,"sim")</f>
        <v>2</v>
      </c>
      <c r="C29" s="9">
        <f>COUNTIFS($C$2:$C$10,"P",$D$2:$D$10,"não")</f>
        <v>2</v>
      </c>
      <c r="D29" s="25">
        <f>-(B29/4)*LOG(B29/4,2)-(C29/4)*LOG(C29/4,2)</f>
        <v>1</v>
      </c>
      <c r="F29" s="11" t="str">
        <f>A20</f>
        <v>GANHO(FE)=</v>
      </c>
      <c r="G29" s="12">
        <f>B20</f>
        <v>0.37887883713522919</v>
      </c>
    </row>
    <row r="30" spans="1:7" ht="18" x14ac:dyDescent="0.55000000000000004">
      <c r="A30" s="7" t="s">
        <v>24</v>
      </c>
      <c r="B30" s="9">
        <f>COUNTIFS($C$2:$C$10,"M",$D$2:$D$10,"sim")</f>
        <v>0</v>
      </c>
      <c r="C30" s="9">
        <f>COUNTIFS($C$2:$C$10,"M",$D$2:$D$10,"não")</f>
        <v>2</v>
      </c>
      <c r="D30" s="25">
        <v>0</v>
      </c>
      <c r="F30" s="11" t="str">
        <f>A26</f>
        <v>GANHO(Cor)=</v>
      </c>
      <c r="G30" s="12">
        <f>B26</f>
        <v>1.8310781820059074E-2</v>
      </c>
    </row>
    <row r="31" spans="1:7" ht="18" x14ac:dyDescent="0.55000000000000004">
      <c r="A31" s="7" t="s">
        <v>25</v>
      </c>
      <c r="B31" s="9">
        <f>COUNTIFS($C$2:$C$10,"G",$D$2:$D$10,"sim")</f>
        <v>2</v>
      </c>
      <c r="C31" s="9">
        <f>COUNTIFS($C$2:$C$10,"G",$D$2:$D$10,"não")</f>
        <v>1</v>
      </c>
      <c r="D31" s="25">
        <f>-(B31/3)*LOG(B31/3,2)-(C31/3)*LOG(C31/3,2)</f>
        <v>0.91829583405448956</v>
      </c>
      <c r="F31" s="11" t="str">
        <f>A33</f>
        <v>GANHO(Tamanho)=</v>
      </c>
      <c r="G31" s="12">
        <f>B33</f>
        <v>0.24053300404228128</v>
      </c>
    </row>
    <row r="32" spans="1:7" ht="18" x14ac:dyDescent="0.55000000000000004">
      <c r="A32" s="8"/>
      <c r="B32" s="8"/>
      <c r="C32" s="8"/>
      <c r="D32" s="8"/>
    </row>
    <row r="33" spans="1:4" ht="18" x14ac:dyDescent="0.55000000000000004">
      <c r="A33" s="29" t="s">
        <v>26</v>
      </c>
      <c r="B33" s="31">
        <f>B14-(C11/9)*D29-(C12/9)*D30-(C13/9)*D31</f>
        <v>0.24053300404228128</v>
      </c>
      <c r="C33" s="8"/>
      <c r="D33" s="8"/>
    </row>
    <row r="54" spans="1:4" ht="14.65" thickBot="1" x14ac:dyDescent="0.5"/>
    <row r="55" spans="1:4" ht="21.4" thickBot="1" x14ac:dyDescent="0.5">
      <c r="A55" s="1" t="s">
        <v>0</v>
      </c>
      <c r="B55" s="1" t="s">
        <v>2</v>
      </c>
      <c r="C55" s="1" t="s">
        <v>1</v>
      </c>
      <c r="D55" s="1" t="s">
        <v>3</v>
      </c>
    </row>
    <row r="56" spans="1:4" ht="21.75" thickTop="1" thickBot="1" x14ac:dyDescent="0.5">
      <c r="A56" s="14" t="s">
        <v>4</v>
      </c>
      <c r="B56" s="14" t="s">
        <v>6</v>
      </c>
      <c r="C56" s="14" t="s">
        <v>5</v>
      </c>
      <c r="D56" s="14" t="s">
        <v>7</v>
      </c>
    </row>
    <row r="57" spans="1:4" ht="21.4" thickBot="1" x14ac:dyDescent="0.5">
      <c r="A57" s="3" t="s">
        <v>4</v>
      </c>
      <c r="B57" s="3" t="s">
        <v>9</v>
      </c>
      <c r="C57" s="3" t="s">
        <v>8</v>
      </c>
      <c r="D57" s="3" t="s">
        <v>10</v>
      </c>
    </row>
    <row r="58" spans="1:4" ht="21.4" thickBot="1" x14ac:dyDescent="0.5">
      <c r="A58" s="4" t="s">
        <v>4</v>
      </c>
      <c r="B58" s="4" t="s">
        <v>6</v>
      </c>
      <c r="C58" s="4" t="s">
        <v>5</v>
      </c>
      <c r="D58" s="4" t="s">
        <v>7</v>
      </c>
    </row>
    <row r="59" spans="1:4" ht="21.4" thickBot="1" x14ac:dyDescent="0.5">
      <c r="A59" s="3" t="s">
        <v>4</v>
      </c>
      <c r="B59" s="3" t="s">
        <v>12</v>
      </c>
      <c r="C59" s="3" t="s">
        <v>5</v>
      </c>
      <c r="D59" s="3" t="s">
        <v>10</v>
      </c>
    </row>
    <row r="60" spans="1:4" ht="21.4" thickBot="1" x14ac:dyDescent="0.5">
      <c r="A60" s="4" t="s">
        <v>4</v>
      </c>
      <c r="B60" s="4" t="s">
        <v>12</v>
      </c>
      <c r="C60" s="4" t="s">
        <v>8</v>
      </c>
      <c r="D60" s="4" t="s">
        <v>7</v>
      </c>
    </row>
    <row r="61" spans="1:4" ht="21.4" thickBot="1" x14ac:dyDescent="0.5">
      <c r="A61" s="4" t="s">
        <v>4</v>
      </c>
      <c r="B61" s="4" t="s">
        <v>12</v>
      </c>
      <c r="C61" s="4" t="s">
        <v>5</v>
      </c>
      <c r="D61" s="4" t="s">
        <v>7</v>
      </c>
    </row>
    <row r="62" spans="1:4" ht="21.4" thickBot="1" x14ac:dyDescent="0.5">
      <c r="A62" s="4" t="s">
        <v>11</v>
      </c>
      <c r="B62" s="4" t="s">
        <v>9</v>
      </c>
      <c r="C62" s="4" t="s">
        <v>5</v>
      </c>
      <c r="D62" s="4" t="s">
        <v>10</v>
      </c>
    </row>
    <row r="63" spans="1:4" ht="21.4" thickBot="1" x14ac:dyDescent="0.5">
      <c r="A63" s="3" t="s">
        <v>11</v>
      </c>
      <c r="B63" s="3" t="s">
        <v>12</v>
      </c>
      <c r="C63" s="3" t="s">
        <v>8</v>
      </c>
      <c r="D63" s="3" t="s">
        <v>10</v>
      </c>
    </row>
    <row r="64" spans="1:4" ht="21.4" thickBot="1" x14ac:dyDescent="0.5">
      <c r="A64" s="3" t="s">
        <v>11</v>
      </c>
      <c r="B64" s="3" t="s">
        <v>6</v>
      </c>
      <c r="C64" s="3" t="s">
        <v>5</v>
      </c>
      <c r="D64" s="3" t="s">
        <v>10</v>
      </c>
    </row>
    <row r="67" spans="1:4" ht="14.65" thickBot="1" x14ac:dyDescent="0.5"/>
    <row r="68" spans="1:4" ht="21.4" thickBot="1" x14ac:dyDescent="0.5">
      <c r="A68" s="1" t="s">
        <v>0</v>
      </c>
      <c r="B68" s="1" t="s">
        <v>2</v>
      </c>
      <c r="C68" s="1" t="s">
        <v>1</v>
      </c>
      <c r="D68" s="1" t="s">
        <v>3</v>
      </c>
    </row>
    <row r="69" spans="1:4" ht="21.75" thickTop="1" thickBot="1" x14ac:dyDescent="0.5">
      <c r="A69" s="13" t="s">
        <v>4</v>
      </c>
      <c r="B69" s="13" t="s">
        <v>6</v>
      </c>
      <c r="C69" s="13" t="s">
        <v>5</v>
      </c>
      <c r="D69" s="13" t="s">
        <v>7</v>
      </c>
    </row>
    <row r="70" spans="1:4" ht="21.4" thickBot="1" x14ac:dyDescent="0.5">
      <c r="A70" s="15" t="s">
        <v>4</v>
      </c>
      <c r="B70" s="15" t="s">
        <v>9</v>
      </c>
      <c r="C70" s="15" t="s">
        <v>8</v>
      </c>
      <c r="D70" s="15" t="s">
        <v>10</v>
      </c>
    </row>
    <row r="71" spans="1:4" ht="21.4" thickBot="1" x14ac:dyDescent="0.5">
      <c r="A71" s="4" t="s">
        <v>4</v>
      </c>
      <c r="B71" s="4" t="s">
        <v>6</v>
      </c>
      <c r="C71" s="4" t="s">
        <v>5</v>
      </c>
      <c r="D71" s="4" t="s">
        <v>7</v>
      </c>
    </row>
    <row r="72" spans="1:4" ht="21.4" thickBot="1" x14ac:dyDescent="0.5">
      <c r="A72" s="3" t="s">
        <v>4</v>
      </c>
      <c r="B72" s="3" t="s">
        <v>12</v>
      </c>
      <c r="C72" s="3" t="s">
        <v>5</v>
      </c>
      <c r="D72" s="3" t="s">
        <v>10</v>
      </c>
    </row>
    <row r="73" spans="1:4" ht="21.4" thickBot="1" x14ac:dyDescent="0.5">
      <c r="A73" s="4" t="s">
        <v>4</v>
      </c>
      <c r="B73" s="4" t="s">
        <v>12</v>
      </c>
      <c r="C73" s="4" t="s">
        <v>8</v>
      </c>
      <c r="D73" s="4" t="s">
        <v>7</v>
      </c>
    </row>
    <row r="74" spans="1:4" ht="21.4" thickBot="1" x14ac:dyDescent="0.5">
      <c r="A74" s="4" t="s">
        <v>4</v>
      </c>
      <c r="B74" s="4" t="s">
        <v>12</v>
      </c>
      <c r="C74" s="4" t="s">
        <v>5</v>
      </c>
      <c r="D74" s="4" t="s">
        <v>7</v>
      </c>
    </row>
    <row r="75" spans="1:4" ht="21.4" thickBot="1" x14ac:dyDescent="0.5">
      <c r="A75" s="4" t="s">
        <v>11</v>
      </c>
      <c r="B75" s="4" t="s">
        <v>9</v>
      </c>
      <c r="C75" s="4" t="s">
        <v>5</v>
      </c>
      <c r="D75" s="4" t="s">
        <v>10</v>
      </c>
    </row>
    <row r="76" spans="1:4" ht="21.4" thickBot="1" x14ac:dyDescent="0.5">
      <c r="A76" s="3" t="s">
        <v>11</v>
      </c>
      <c r="B76" s="3" t="s">
        <v>12</v>
      </c>
      <c r="C76" s="3" t="s">
        <v>8</v>
      </c>
      <c r="D76" s="3" t="s">
        <v>10</v>
      </c>
    </row>
    <row r="77" spans="1:4" ht="21.4" thickBot="1" x14ac:dyDescent="0.5">
      <c r="A77" s="3" t="s">
        <v>11</v>
      </c>
      <c r="B77" s="3" t="s">
        <v>6</v>
      </c>
      <c r="C77" s="3" t="s">
        <v>5</v>
      </c>
      <c r="D77" s="3" t="s">
        <v>10</v>
      </c>
    </row>
    <row r="80" spans="1:4" ht="14.65" thickBot="1" x14ac:dyDescent="0.5"/>
    <row r="81" spans="1:4" ht="21.4" thickBot="1" x14ac:dyDescent="0.5">
      <c r="A81" s="1" t="s">
        <v>0</v>
      </c>
      <c r="B81" s="1" t="s">
        <v>2</v>
      </c>
      <c r="C81" s="1" t="s">
        <v>1</v>
      </c>
      <c r="D81" s="1" t="s">
        <v>3</v>
      </c>
    </row>
    <row r="82" spans="1:4" ht="21.75" thickTop="1" thickBot="1" x14ac:dyDescent="0.5">
      <c r="A82" s="13" t="s">
        <v>4</v>
      </c>
      <c r="B82" s="13" t="s">
        <v>6</v>
      </c>
      <c r="C82" s="13" t="s">
        <v>5</v>
      </c>
      <c r="D82" s="13" t="s">
        <v>7</v>
      </c>
    </row>
    <row r="83" spans="1:4" ht="21.4" thickBot="1" x14ac:dyDescent="0.5">
      <c r="A83" s="16" t="s">
        <v>4</v>
      </c>
      <c r="B83" s="16" t="s">
        <v>9</v>
      </c>
      <c r="C83" s="16" t="s">
        <v>8</v>
      </c>
      <c r="D83" s="16" t="s">
        <v>10</v>
      </c>
    </row>
    <row r="84" spans="1:4" ht="21.4" thickBot="1" x14ac:dyDescent="0.5">
      <c r="A84" s="17" t="s">
        <v>4</v>
      </c>
      <c r="B84" s="17" t="s">
        <v>6</v>
      </c>
      <c r="C84" s="17" t="s">
        <v>5</v>
      </c>
      <c r="D84" s="17" t="s">
        <v>7</v>
      </c>
    </row>
    <row r="85" spans="1:4" ht="21.4" thickBot="1" x14ac:dyDescent="0.5">
      <c r="A85" s="3" t="s">
        <v>4</v>
      </c>
      <c r="B85" s="3" t="s">
        <v>12</v>
      </c>
      <c r="C85" s="3" t="s">
        <v>5</v>
      </c>
      <c r="D85" s="3" t="s">
        <v>10</v>
      </c>
    </row>
    <row r="86" spans="1:4" ht="21.4" thickBot="1" x14ac:dyDescent="0.5">
      <c r="A86" s="4" t="s">
        <v>4</v>
      </c>
      <c r="B86" s="4" t="s">
        <v>12</v>
      </c>
      <c r="C86" s="4" t="s">
        <v>8</v>
      </c>
      <c r="D86" s="4" t="s">
        <v>7</v>
      </c>
    </row>
    <row r="87" spans="1:4" ht="21.4" thickBot="1" x14ac:dyDescent="0.5">
      <c r="A87" s="4" t="s">
        <v>4</v>
      </c>
      <c r="B87" s="4" t="s">
        <v>12</v>
      </c>
      <c r="C87" s="4" t="s">
        <v>5</v>
      </c>
      <c r="D87" s="4" t="s">
        <v>7</v>
      </c>
    </row>
    <row r="88" spans="1:4" ht="21.4" thickBot="1" x14ac:dyDescent="0.5">
      <c r="A88" s="4" t="s">
        <v>11</v>
      </c>
      <c r="B88" s="4" t="s">
        <v>9</v>
      </c>
      <c r="C88" s="4" t="s">
        <v>5</v>
      </c>
      <c r="D88" s="4" t="s">
        <v>10</v>
      </c>
    </row>
    <row r="89" spans="1:4" ht="21.4" thickBot="1" x14ac:dyDescent="0.5">
      <c r="A89" s="3" t="s">
        <v>11</v>
      </c>
      <c r="B89" s="3" t="s">
        <v>12</v>
      </c>
      <c r="C89" s="3" t="s">
        <v>8</v>
      </c>
      <c r="D89" s="3" t="s">
        <v>10</v>
      </c>
    </row>
    <row r="90" spans="1:4" ht="21.4" thickBot="1" x14ac:dyDescent="0.5">
      <c r="A90" s="3" t="s">
        <v>11</v>
      </c>
      <c r="B90" s="3" t="s">
        <v>6</v>
      </c>
      <c r="C90" s="3" t="s">
        <v>5</v>
      </c>
      <c r="D90" s="3" t="s">
        <v>10</v>
      </c>
    </row>
    <row r="93" spans="1:4" ht="14.65" thickBot="1" x14ac:dyDescent="0.5"/>
    <row r="94" spans="1:4" ht="21.4" thickBot="1" x14ac:dyDescent="0.5">
      <c r="A94" s="1" t="s">
        <v>0</v>
      </c>
      <c r="B94" s="1" t="s">
        <v>2</v>
      </c>
      <c r="C94" s="1" t="s">
        <v>1</v>
      </c>
      <c r="D94" s="1" t="s">
        <v>3</v>
      </c>
    </row>
    <row r="95" spans="1:4" ht="21.75" thickTop="1" thickBot="1" x14ac:dyDescent="0.5">
      <c r="A95" s="13" t="s">
        <v>4</v>
      </c>
      <c r="B95" s="13" t="s">
        <v>6</v>
      </c>
      <c r="C95" s="13" t="s">
        <v>5</v>
      </c>
      <c r="D95" s="13" t="s">
        <v>7</v>
      </c>
    </row>
    <row r="96" spans="1:4" ht="21.4" thickBot="1" x14ac:dyDescent="0.5">
      <c r="A96" s="16" t="s">
        <v>4</v>
      </c>
      <c r="B96" s="16" t="s">
        <v>9</v>
      </c>
      <c r="C96" s="16" t="s">
        <v>8</v>
      </c>
      <c r="D96" s="16" t="s">
        <v>10</v>
      </c>
    </row>
    <row r="97" spans="1:4" ht="21.4" thickBot="1" x14ac:dyDescent="0.5">
      <c r="A97" s="18" t="s">
        <v>4</v>
      </c>
      <c r="B97" s="18" t="s">
        <v>6</v>
      </c>
      <c r="C97" s="18" t="s">
        <v>5</v>
      </c>
      <c r="D97" s="18" t="s">
        <v>7</v>
      </c>
    </row>
    <row r="98" spans="1:4" ht="21.4" thickBot="1" x14ac:dyDescent="0.5">
      <c r="A98" s="15" t="s">
        <v>4</v>
      </c>
      <c r="B98" s="15" t="s">
        <v>12</v>
      </c>
      <c r="C98" s="15" t="s">
        <v>5</v>
      </c>
      <c r="D98" s="15" t="s">
        <v>10</v>
      </c>
    </row>
    <row r="99" spans="1:4" ht="21.4" thickBot="1" x14ac:dyDescent="0.5">
      <c r="A99" s="4" t="s">
        <v>4</v>
      </c>
      <c r="B99" s="4" t="s">
        <v>12</v>
      </c>
      <c r="C99" s="4" t="s">
        <v>8</v>
      </c>
      <c r="D99" s="4" t="s">
        <v>7</v>
      </c>
    </row>
    <row r="100" spans="1:4" ht="21.4" thickBot="1" x14ac:dyDescent="0.5">
      <c r="A100" s="4" t="s">
        <v>4</v>
      </c>
      <c r="B100" s="4" t="s">
        <v>12</v>
      </c>
      <c r="C100" s="4" t="s">
        <v>5</v>
      </c>
      <c r="D100" s="4" t="s">
        <v>7</v>
      </c>
    </row>
    <row r="101" spans="1:4" ht="21.4" thickBot="1" x14ac:dyDescent="0.5">
      <c r="A101" s="4" t="s">
        <v>11</v>
      </c>
      <c r="B101" s="4" t="s">
        <v>9</v>
      </c>
      <c r="C101" s="4" t="s">
        <v>5</v>
      </c>
      <c r="D101" s="4" t="s">
        <v>10</v>
      </c>
    </row>
    <row r="102" spans="1:4" ht="21.4" thickBot="1" x14ac:dyDescent="0.5">
      <c r="A102" s="3" t="s">
        <v>11</v>
      </c>
      <c r="B102" s="3" t="s">
        <v>12</v>
      </c>
      <c r="C102" s="3" t="s">
        <v>8</v>
      </c>
      <c r="D102" s="3" t="s">
        <v>10</v>
      </c>
    </row>
    <row r="103" spans="1:4" ht="21.4" thickBot="1" x14ac:dyDescent="0.5">
      <c r="A103" s="3" t="s">
        <v>11</v>
      </c>
      <c r="B103" s="3" t="s">
        <v>6</v>
      </c>
      <c r="C103" s="3" t="s">
        <v>5</v>
      </c>
      <c r="D103" s="3" t="s">
        <v>10</v>
      </c>
    </row>
    <row r="106" spans="1:4" ht="14.65" thickBot="1" x14ac:dyDescent="0.5"/>
    <row r="107" spans="1:4" ht="21.4" thickBot="1" x14ac:dyDescent="0.5">
      <c r="A107" s="1" t="s">
        <v>0</v>
      </c>
      <c r="B107" s="1" t="s">
        <v>2</v>
      </c>
      <c r="C107" s="1" t="s">
        <v>1</v>
      </c>
      <c r="D107" s="1" t="s">
        <v>3</v>
      </c>
    </row>
    <row r="108" spans="1:4" ht="21.75" thickTop="1" thickBot="1" x14ac:dyDescent="0.5">
      <c r="A108" s="13" t="s">
        <v>4</v>
      </c>
      <c r="B108" s="13" t="s">
        <v>6</v>
      </c>
      <c r="C108" s="13" t="s">
        <v>5</v>
      </c>
      <c r="D108" s="13" t="s">
        <v>7</v>
      </c>
    </row>
    <row r="109" spans="1:4" ht="21.4" thickBot="1" x14ac:dyDescent="0.5">
      <c r="A109" s="16" t="s">
        <v>4</v>
      </c>
      <c r="B109" s="16" t="s">
        <v>9</v>
      </c>
      <c r="C109" s="16" t="s">
        <v>8</v>
      </c>
      <c r="D109" s="16" t="s">
        <v>10</v>
      </c>
    </row>
    <row r="110" spans="1:4" ht="21.4" thickBot="1" x14ac:dyDescent="0.5">
      <c r="A110" s="18" t="s">
        <v>4</v>
      </c>
      <c r="B110" s="18" t="s">
        <v>6</v>
      </c>
      <c r="C110" s="18" t="s">
        <v>5</v>
      </c>
      <c r="D110" s="18" t="s">
        <v>7</v>
      </c>
    </row>
    <row r="111" spans="1:4" ht="21.4" thickBot="1" x14ac:dyDescent="0.5">
      <c r="A111" s="16" t="s">
        <v>4</v>
      </c>
      <c r="B111" s="16" t="s">
        <v>12</v>
      </c>
      <c r="C111" s="16" t="s">
        <v>5</v>
      </c>
      <c r="D111" s="16" t="s">
        <v>10</v>
      </c>
    </row>
    <row r="112" spans="1:4" ht="21.4" thickBot="1" x14ac:dyDescent="0.5">
      <c r="A112" s="17" t="s">
        <v>4</v>
      </c>
      <c r="B112" s="17" t="s">
        <v>12</v>
      </c>
      <c r="C112" s="17" t="s">
        <v>8</v>
      </c>
      <c r="D112" s="17" t="s">
        <v>7</v>
      </c>
    </row>
    <row r="113" spans="1:4" ht="21.4" thickBot="1" x14ac:dyDescent="0.5">
      <c r="A113" s="4" t="s">
        <v>4</v>
      </c>
      <c r="B113" s="4" t="s">
        <v>12</v>
      </c>
      <c r="C113" s="4" t="s">
        <v>5</v>
      </c>
      <c r="D113" s="4" t="s">
        <v>7</v>
      </c>
    </row>
    <row r="114" spans="1:4" ht="21.4" thickBot="1" x14ac:dyDescent="0.5">
      <c r="A114" s="4" t="s">
        <v>11</v>
      </c>
      <c r="B114" s="4" t="s">
        <v>9</v>
      </c>
      <c r="C114" s="4" t="s">
        <v>5</v>
      </c>
      <c r="D114" s="4" t="s">
        <v>10</v>
      </c>
    </row>
    <row r="115" spans="1:4" ht="21.4" thickBot="1" x14ac:dyDescent="0.5">
      <c r="A115" s="3" t="s">
        <v>11</v>
      </c>
      <c r="B115" s="3" t="s">
        <v>12</v>
      </c>
      <c r="C115" s="3" t="s">
        <v>8</v>
      </c>
      <c r="D115" s="3" t="s">
        <v>10</v>
      </c>
    </row>
    <row r="116" spans="1:4" ht="21.4" thickBot="1" x14ac:dyDescent="0.5">
      <c r="A116" s="3" t="s">
        <v>11</v>
      </c>
      <c r="B116" s="3" t="s">
        <v>6</v>
      </c>
      <c r="C116" s="3" t="s">
        <v>5</v>
      </c>
      <c r="D116" s="3" t="s">
        <v>10</v>
      </c>
    </row>
    <row r="119" spans="1:4" ht="14.65" thickBot="1" x14ac:dyDescent="0.5"/>
    <row r="120" spans="1:4" ht="21.4" thickBot="1" x14ac:dyDescent="0.5">
      <c r="A120" s="1" t="s">
        <v>0</v>
      </c>
      <c r="B120" s="1" t="s">
        <v>2</v>
      </c>
      <c r="C120" s="1" t="s">
        <v>1</v>
      </c>
      <c r="D120" s="1" t="s">
        <v>3</v>
      </c>
    </row>
    <row r="121" spans="1:4" ht="21.75" thickTop="1" thickBot="1" x14ac:dyDescent="0.5">
      <c r="A121" s="13" t="s">
        <v>4</v>
      </c>
      <c r="B121" s="13" t="s">
        <v>6</v>
      </c>
      <c r="C121" s="13" t="s">
        <v>5</v>
      </c>
      <c r="D121" s="13" t="s">
        <v>7</v>
      </c>
    </row>
    <row r="122" spans="1:4" ht="21.4" thickBot="1" x14ac:dyDescent="0.5">
      <c r="A122" s="16" t="s">
        <v>4</v>
      </c>
      <c r="B122" s="16" t="s">
        <v>9</v>
      </c>
      <c r="C122" s="16" t="s">
        <v>8</v>
      </c>
      <c r="D122" s="16" t="s">
        <v>10</v>
      </c>
    </row>
    <row r="123" spans="1:4" ht="21.4" thickBot="1" x14ac:dyDescent="0.5">
      <c r="A123" s="18" t="s">
        <v>4</v>
      </c>
      <c r="B123" s="18" t="s">
        <v>6</v>
      </c>
      <c r="C123" s="18" t="s">
        <v>5</v>
      </c>
      <c r="D123" s="18" t="s">
        <v>7</v>
      </c>
    </row>
    <row r="124" spans="1:4" ht="21.4" thickBot="1" x14ac:dyDescent="0.5">
      <c r="A124" s="16" t="s">
        <v>4</v>
      </c>
      <c r="B124" s="16" t="s">
        <v>12</v>
      </c>
      <c r="C124" s="16" t="s">
        <v>5</v>
      </c>
      <c r="D124" s="16" t="s">
        <v>10</v>
      </c>
    </row>
    <row r="125" spans="1:4" ht="21.4" thickBot="1" x14ac:dyDescent="0.5">
      <c r="A125" s="18" t="s">
        <v>4</v>
      </c>
      <c r="B125" s="18" t="s">
        <v>12</v>
      </c>
      <c r="C125" s="18" t="s">
        <v>8</v>
      </c>
      <c r="D125" s="18" t="s">
        <v>7</v>
      </c>
    </row>
    <row r="126" spans="1:4" ht="21.4" thickBot="1" x14ac:dyDescent="0.5">
      <c r="A126" s="17" t="s">
        <v>4</v>
      </c>
      <c r="B126" s="17" t="s">
        <v>12</v>
      </c>
      <c r="C126" s="17" t="s">
        <v>5</v>
      </c>
      <c r="D126" s="17" t="s">
        <v>7</v>
      </c>
    </row>
    <row r="127" spans="1:4" ht="21.4" thickBot="1" x14ac:dyDescent="0.5">
      <c r="A127" s="4" t="s">
        <v>11</v>
      </c>
      <c r="B127" s="4" t="s">
        <v>9</v>
      </c>
      <c r="C127" s="4" t="s">
        <v>5</v>
      </c>
      <c r="D127" s="4" t="s">
        <v>10</v>
      </c>
    </row>
    <row r="128" spans="1:4" ht="21.4" thickBot="1" x14ac:dyDescent="0.5">
      <c r="A128" s="3" t="s">
        <v>11</v>
      </c>
      <c r="B128" s="3" t="s">
        <v>12</v>
      </c>
      <c r="C128" s="3" t="s">
        <v>8</v>
      </c>
      <c r="D128" s="3" t="s">
        <v>10</v>
      </c>
    </row>
    <row r="129" spans="1:4" ht="21.4" thickBot="1" x14ac:dyDescent="0.5">
      <c r="A129" s="3" t="s">
        <v>11</v>
      </c>
      <c r="B129" s="3" t="s">
        <v>6</v>
      </c>
      <c r="C129" s="3" t="s">
        <v>5</v>
      </c>
      <c r="D129" s="3" t="s">
        <v>10</v>
      </c>
    </row>
    <row r="132" spans="1:4" ht="14.65" thickBot="1" x14ac:dyDescent="0.5"/>
    <row r="133" spans="1:4" ht="21.4" thickBot="1" x14ac:dyDescent="0.5">
      <c r="A133" s="1" t="s">
        <v>0</v>
      </c>
      <c r="B133" s="1" t="s">
        <v>2</v>
      </c>
      <c r="C133" s="1" t="s">
        <v>1</v>
      </c>
      <c r="D133" s="1" t="s">
        <v>3</v>
      </c>
    </row>
    <row r="134" spans="1:4" ht="21.75" thickTop="1" thickBot="1" x14ac:dyDescent="0.5">
      <c r="A134" s="13" t="s">
        <v>4</v>
      </c>
      <c r="B134" s="13" t="s">
        <v>6</v>
      </c>
      <c r="C134" s="13" t="s">
        <v>5</v>
      </c>
      <c r="D134" s="13" t="s">
        <v>7</v>
      </c>
    </row>
    <row r="135" spans="1:4" ht="21.4" thickBot="1" x14ac:dyDescent="0.5">
      <c r="A135" s="16" t="s">
        <v>4</v>
      </c>
      <c r="B135" s="16" t="s">
        <v>9</v>
      </c>
      <c r="C135" s="16" t="s">
        <v>8</v>
      </c>
      <c r="D135" s="16" t="s">
        <v>10</v>
      </c>
    </row>
    <row r="136" spans="1:4" ht="21.4" thickBot="1" x14ac:dyDescent="0.5">
      <c r="A136" s="18" t="s">
        <v>4</v>
      </c>
      <c r="B136" s="18" t="s">
        <v>6</v>
      </c>
      <c r="C136" s="18" t="s">
        <v>5</v>
      </c>
      <c r="D136" s="18" t="s">
        <v>7</v>
      </c>
    </row>
    <row r="137" spans="1:4" ht="21.4" thickBot="1" x14ac:dyDescent="0.5">
      <c r="A137" s="16" t="s">
        <v>4</v>
      </c>
      <c r="B137" s="16" t="s">
        <v>12</v>
      </c>
      <c r="C137" s="16" t="s">
        <v>5</v>
      </c>
      <c r="D137" s="16" t="s">
        <v>10</v>
      </c>
    </row>
    <row r="138" spans="1:4" ht="21.4" thickBot="1" x14ac:dyDescent="0.5">
      <c r="A138" s="18" t="s">
        <v>4</v>
      </c>
      <c r="B138" s="18" t="s">
        <v>12</v>
      </c>
      <c r="C138" s="18" t="s">
        <v>8</v>
      </c>
      <c r="D138" s="18" t="s">
        <v>7</v>
      </c>
    </row>
    <row r="139" spans="1:4" ht="21.4" thickBot="1" x14ac:dyDescent="0.5">
      <c r="A139" s="18" t="s">
        <v>4</v>
      </c>
      <c r="B139" s="18" t="s">
        <v>12</v>
      </c>
      <c r="C139" s="18" t="s">
        <v>5</v>
      </c>
      <c r="D139" s="18" t="s">
        <v>7</v>
      </c>
    </row>
    <row r="140" spans="1:4" ht="21.4" thickBot="1" x14ac:dyDescent="0.5">
      <c r="A140" s="17" t="s">
        <v>11</v>
      </c>
      <c r="B140" s="17" t="s">
        <v>9</v>
      </c>
      <c r="C140" s="17" t="s">
        <v>5</v>
      </c>
      <c r="D140" s="17" t="s">
        <v>10</v>
      </c>
    </row>
    <row r="141" spans="1:4" ht="21.4" thickBot="1" x14ac:dyDescent="0.5">
      <c r="A141" s="3" t="s">
        <v>11</v>
      </c>
      <c r="B141" s="3" t="s">
        <v>12</v>
      </c>
      <c r="C141" s="3" t="s">
        <v>8</v>
      </c>
      <c r="D141" s="3" t="s">
        <v>10</v>
      </c>
    </row>
    <row r="142" spans="1:4" ht="21.4" thickBot="1" x14ac:dyDescent="0.5">
      <c r="A142" s="3" t="s">
        <v>11</v>
      </c>
      <c r="B142" s="3" t="s">
        <v>6</v>
      </c>
      <c r="C142" s="3" t="s">
        <v>5</v>
      </c>
      <c r="D142" s="3" t="s">
        <v>10</v>
      </c>
    </row>
    <row r="145" spans="1:4" ht="14.65" thickBot="1" x14ac:dyDescent="0.5"/>
    <row r="146" spans="1:4" ht="21.4" thickBot="1" x14ac:dyDescent="0.5">
      <c r="A146" s="1" t="s">
        <v>0</v>
      </c>
      <c r="B146" s="1" t="s">
        <v>2</v>
      </c>
      <c r="C146" s="1" t="s">
        <v>1</v>
      </c>
      <c r="D146" s="1" t="s">
        <v>3</v>
      </c>
    </row>
    <row r="147" spans="1:4" ht="21.75" thickTop="1" thickBot="1" x14ac:dyDescent="0.5">
      <c r="A147" s="13" t="s">
        <v>4</v>
      </c>
      <c r="B147" s="13" t="s">
        <v>6</v>
      </c>
      <c r="C147" s="13" t="s">
        <v>5</v>
      </c>
      <c r="D147" s="13" t="s">
        <v>7</v>
      </c>
    </row>
    <row r="148" spans="1:4" ht="21.4" thickBot="1" x14ac:dyDescent="0.5">
      <c r="A148" s="16" t="s">
        <v>4</v>
      </c>
      <c r="B148" s="16" t="s">
        <v>9</v>
      </c>
      <c r="C148" s="16" t="s">
        <v>8</v>
      </c>
      <c r="D148" s="16" t="s">
        <v>10</v>
      </c>
    </row>
    <row r="149" spans="1:4" ht="21.4" thickBot="1" x14ac:dyDescent="0.5">
      <c r="A149" s="18" t="s">
        <v>4</v>
      </c>
      <c r="B149" s="18" t="s">
        <v>6</v>
      </c>
      <c r="C149" s="18" t="s">
        <v>5</v>
      </c>
      <c r="D149" s="18" t="s">
        <v>7</v>
      </c>
    </row>
    <row r="150" spans="1:4" ht="21.4" thickBot="1" x14ac:dyDescent="0.5">
      <c r="A150" s="16" t="s">
        <v>4</v>
      </c>
      <c r="B150" s="16" t="s">
        <v>12</v>
      </c>
      <c r="C150" s="16" t="s">
        <v>5</v>
      </c>
      <c r="D150" s="16" t="s">
        <v>10</v>
      </c>
    </row>
    <row r="151" spans="1:4" ht="21.4" thickBot="1" x14ac:dyDescent="0.5">
      <c r="A151" s="18" t="s">
        <v>4</v>
      </c>
      <c r="B151" s="18" t="s">
        <v>12</v>
      </c>
      <c r="C151" s="18" t="s">
        <v>8</v>
      </c>
      <c r="D151" s="18" t="s">
        <v>7</v>
      </c>
    </row>
    <row r="152" spans="1:4" ht="21.4" thickBot="1" x14ac:dyDescent="0.5">
      <c r="A152" s="18" t="s">
        <v>4</v>
      </c>
      <c r="B152" s="18" t="s">
        <v>12</v>
      </c>
      <c r="C152" s="18" t="s">
        <v>5</v>
      </c>
      <c r="D152" s="18" t="s">
        <v>7</v>
      </c>
    </row>
    <row r="153" spans="1:4" ht="21.4" thickBot="1" x14ac:dyDescent="0.5">
      <c r="A153" s="18" t="s">
        <v>11</v>
      </c>
      <c r="B153" s="18" t="s">
        <v>9</v>
      </c>
      <c r="C153" s="18" t="s">
        <v>5</v>
      </c>
      <c r="D153" s="18" t="s">
        <v>10</v>
      </c>
    </row>
    <row r="154" spans="1:4" ht="21.4" thickBot="1" x14ac:dyDescent="0.5">
      <c r="A154" s="15" t="s">
        <v>11</v>
      </c>
      <c r="B154" s="15" t="s">
        <v>12</v>
      </c>
      <c r="C154" s="15" t="s">
        <v>8</v>
      </c>
      <c r="D154" s="15" t="s">
        <v>10</v>
      </c>
    </row>
    <row r="155" spans="1:4" ht="21.4" thickBot="1" x14ac:dyDescent="0.5">
      <c r="A155" s="3" t="s">
        <v>11</v>
      </c>
      <c r="B155" s="3" t="s">
        <v>6</v>
      </c>
      <c r="C155" s="3" t="s">
        <v>5</v>
      </c>
      <c r="D155" s="3" t="s">
        <v>10</v>
      </c>
    </row>
    <row r="158" spans="1:4" ht="14.65" thickBot="1" x14ac:dyDescent="0.5"/>
    <row r="159" spans="1:4" ht="21.4" thickBot="1" x14ac:dyDescent="0.5">
      <c r="A159" s="1" t="s">
        <v>0</v>
      </c>
      <c r="B159" s="1" t="s">
        <v>2</v>
      </c>
      <c r="C159" s="1" t="s">
        <v>1</v>
      </c>
      <c r="D159" s="1" t="s">
        <v>3</v>
      </c>
    </row>
    <row r="160" spans="1:4" ht="21.75" thickTop="1" thickBot="1" x14ac:dyDescent="0.5">
      <c r="A160" s="13" t="s">
        <v>4</v>
      </c>
      <c r="B160" s="13" t="s">
        <v>6</v>
      </c>
      <c r="C160" s="13" t="s">
        <v>5</v>
      </c>
      <c r="D160" s="13" t="s">
        <v>7</v>
      </c>
    </row>
    <row r="161" spans="1:4" ht="21.4" thickBot="1" x14ac:dyDescent="0.5">
      <c r="A161" s="16" t="s">
        <v>4</v>
      </c>
      <c r="B161" s="16" t="s">
        <v>9</v>
      </c>
      <c r="C161" s="16" t="s">
        <v>8</v>
      </c>
      <c r="D161" s="16" t="s">
        <v>10</v>
      </c>
    </row>
    <row r="162" spans="1:4" ht="21.4" thickBot="1" x14ac:dyDescent="0.5">
      <c r="A162" s="18" t="s">
        <v>4</v>
      </c>
      <c r="B162" s="18" t="s">
        <v>6</v>
      </c>
      <c r="C162" s="18" t="s">
        <v>5</v>
      </c>
      <c r="D162" s="18" t="s">
        <v>7</v>
      </c>
    </row>
    <row r="163" spans="1:4" ht="21.4" thickBot="1" x14ac:dyDescent="0.5">
      <c r="A163" s="16" t="s">
        <v>4</v>
      </c>
      <c r="B163" s="16" t="s">
        <v>12</v>
      </c>
      <c r="C163" s="16" t="s">
        <v>5</v>
      </c>
      <c r="D163" s="16" t="s">
        <v>10</v>
      </c>
    </row>
    <row r="164" spans="1:4" ht="21.4" thickBot="1" x14ac:dyDescent="0.5">
      <c r="A164" s="18" t="s">
        <v>4</v>
      </c>
      <c r="B164" s="18" t="s">
        <v>12</v>
      </c>
      <c r="C164" s="18" t="s">
        <v>8</v>
      </c>
      <c r="D164" s="18" t="s">
        <v>7</v>
      </c>
    </row>
    <row r="165" spans="1:4" ht="21.4" thickBot="1" x14ac:dyDescent="0.5">
      <c r="A165" s="18" t="s">
        <v>4</v>
      </c>
      <c r="B165" s="18" t="s">
        <v>12</v>
      </c>
      <c r="C165" s="18" t="s">
        <v>5</v>
      </c>
      <c r="D165" s="18" t="s">
        <v>7</v>
      </c>
    </row>
    <row r="166" spans="1:4" ht="21.4" thickBot="1" x14ac:dyDescent="0.5">
      <c r="A166" s="18" t="s">
        <v>11</v>
      </c>
      <c r="B166" s="18" t="s">
        <v>9</v>
      </c>
      <c r="C166" s="18" t="s">
        <v>5</v>
      </c>
      <c r="D166" s="18" t="s">
        <v>10</v>
      </c>
    </row>
    <row r="167" spans="1:4" ht="21.4" thickBot="1" x14ac:dyDescent="0.5">
      <c r="A167" s="16" t="s">
        <v>11</v>
      </c>
      <c r="B167" s="16" t="s">
        <v>12</v>
      </c>
      <c r="C167" s="16" t="s">
        <v>8</v>
      </c>
      <c r="D167" s="16" t="s">
        <v>10</v>
      </c>
    </row>
    <row r="168" spans="1:4" ht="21.4" thickBot="1" x14ac:dyDescent="0.5">
      <c r="A168" s="15" t="s">
        <v>11</v>
      </c>
      <c r="B168" s="15" t="s">
        <v>6</v>
      </c>
      <c r="C168" s="15" t="s">
        <v>5</v>
      </c>
      <c r="D168" s="15" t="s">
        <v>10</v>
      </c>
    </row>
    <row r="171" spans="1:4" ht="14.65" thickBot="1" x14ac:dyDescent="0.5"/>
    <row r="172" spans="1:4" ht="21.4" thickBot="1" x14ac:dyDescent="0.5">
      <c r="A172" s="1" t="s">
        <v>0</v>
      </c>
      <c r="B172" s="1" t="s">
        <v>2</v>
      </c>
      <c r="C172" s="1" t="s">
        <v>1</v>
      </c>
      <c r="D172" s="1" t="s">
        <v>3</v>
      </c>
    </row>
    <row r="173" spans="1:4" ht="21.75" thickTop="1" thickBot="1" x14ac:dyDescent="0.5">
      <c r="A173" s="19" t="s">
        <v>4</v>
      </c>
      <c r="B173" s="19" t="s">
        <v>6</v>
      </c>
      <c r="C173" s="19" t="s">
        <v>5</v>
      </c>
      <c r="D173" s="22" t="s">
        <v>7</v>
      </c>
    </row>
    <row r="174" spans="1:4" ht="21.4" thickBot="1" x14ac:dyDescent="0.5">
      <c r="A174" s="3" t="s">
        <v>4</v>
      </c>
      <c r="B174" s="3" t="s">
        <v>9</v>
      </c>
      <c r="C174" s="3" t="s">
        <v>8</v>
      </c>
      <c r="D174" s="20" t="s">
        <v>10</v>
      </c>
    </row>
    <row r="175" spans="1:4" ht="21.4" thickBot="1" x14ac:dyDescent="0.5">
      <c r="A175" s="4" t="s">
        <v>4</v>
      </c>
      <c r="B175" s="4" t="s">
        <v>6</v>
      </c>
      <c r="C175" s="4" t="s">
        <v>5</v>
      </c>
      <c r="D175" s="23" t="s">
        <v>7</v>
      </c>
    </row>
    <row r="176" spans="1:4" ht="21.4" thickBot="1" x14ac:dyDescent="0.5">
      <c r="A176" s="3" t="s">
        <v>4</v>
      </c>
      <c r="B176" s="3" t="s">
        <v>12</v>
      </c>
      <c r="C176" s="3" t="s">
        <v>5</v>
      </c>
      <c r="D176" s="20" t="s">
        <v>10</v>
      </c>
    </row>
    <row r="177" spans="1:4" ht="21.4" thickBot="1" x14ac:dyDescent="0.5">
      <c r="A177" s="4" t="s">
        <v>4</v>
      </c>
      <c r="B177" s="4" t="s">
        <v>12</v>
      </c>
      <c r="C177" s="4" t="s">
        <v>8</v>
      </c>
      <c r="D177" s="23" t="s">
        <v>7</v>
      </c>
    </row>
    <row r="178" spans="1:4" ht="21.4" thickBot="1" x14ac:dyDescent="0.5">
      <c r="A178" s="4" t="s">
        <v>4</v>
      </c>
      <c r="B178" s="4" t="s">
        <v>12</v>
      </c>
      <c r="C178" s="4" t="s">
        <v>5</v>
      </c>
      <c r="D178" s="23" t="s">
        <v>7</v>
      </c>
    </row>
    <row r="179" spans="1:4" ht="21.4" thickBot="1" x14ac:dyDescent="0.5">
      <c r="A179" s="4" t="s">
        <v>11</v>
      </c>
      <c r="B179" s="4" t="s">
        <v>9</v>
      </c>
      <c r="C179" s="4" t="s">
        <v>5</v>
      </c>
      <c r="D179" s="21" t="s">
        <v>10</v>
      </c>
    </row>
    <row r="180" spans="1:4" ht="21.4" thickBot="1" x14ac:dyDescent="0.5">
      <c r="A180" s="3" t="s">
        <v>11</v>
      </c>
      <c r="B180" s="3" t="s">
        <v>12</v>
      </c>
      <c r="C180" s="3" t="s">
        <v>8</v>
      </c>
      <c r="D180" s="20" t="s">
        <v>10</v>
      </c>
    </row>
    <row r="181" spans="1:4" ht="21.4" thickBot="1" x14ac:dyDescent="0.5">
      <c r="A181" s="3" t="s">
        <v>11</v>
      </c>
      <c r="B181" s="3" t="s">
        <v>6</v>
      </c>
      <c r="C181" s="3" t="s">
        <v>5</v>
      </c>
      <c r="D181" s="20" t="s">
        <v>10</v>
      </c>
    </row>
  </sheetData>
  <autoFilter ref="A55:D64" xr:uid="{C3CEDA92-4C36-48B7-864C-733A3B715351}">
    <sortState xmlns:xlrd2="http://schemas.microsoft.com/office/spreadsheetml/2017/richdata2" ref="A56:D64">
      <sortCondition ref="A55:A64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5DB0-5E70-4A59-971B-3C30131E6A7A}">
  <dimension ref="A1:F81"/>
  <sheetViews>
    <sheetView tabSelected="1" zoomScale="130" zoomScaleNormal="130" workbookViewId="0">
      <selection activeCell="B16" sqref="B16"/>
    </sheetView>
  </sheetViews>
  <sheetFormatPr defaultRowHeight="14.25" x14ac:dyDescent="0.45"/>
  <cols>
    <col min="1" max="1" width="21.265625" customWidth="1"/>
    <col min="2" max="2" width="16.73046875" customWidth="1"/>
    <col min="3" max="3" width="15.265625" customWidth="1"/>
    <col min="4" max="4" width="17.1328125" customWidth="1"/>
    <col min="5" max="5" width="25.265625" bestFit="1" customWidth="1"/>
  </cols>
  <sheetData>
    <row r="1" spans="1:6" ht="21.4" thickBot="1" x14ac:dyDescent="0.6">
      <c r="A1" s="6" t="s">
        <v>27</v>
      </c>
      <c r="B1" s="40" t="s">
        <v>0</v>
      </c>
      <c r="C1" s="40" t="s">
        <v>1</v>
      </c>
      <c r="D1" s="40" t="s">
        <v>2</v>
      </c>
      <c r="E1" s="41" t="s">
        <v>3</v>
      </c>
    </row>
    <row r="2" spans="1:6" ht="21.75" thickTop="1" thickBot="1" x14ac:dyDescent="0.6">
      <c r="A2" s="6">
        <v>1</v>
      </c>
      <c r="B2" s="42" t="s">
        <v>4</v>
      </c>
      <c r="C2" s="42" t="s">
        <v>5</v>
      </c>
      <c r="D2" s="42" t="s">
        <v>6</v>
      </c>
      <c r="E2" s="43" t="s">
        <v>7</v>
      </c>
    </row>
    <row r="3" spans="1:6" ht="21.4" thickBot="1" x14ac:dyDescent="0.6">
      <c r="A3" s="6">
        <v>2</v>
      </c>
      <c r="B3" s="44" t="s">
        <v>4</v>
      </c>
      <c r="C3" s="44" t="s">
        <v>8</v>
      </c>
      <c r="D3" s="44" t="s">
        <v>9</v>
      </c>
      <c r="E3" s="45" t="s">
        <v>10</v>
      </c>
    </row>
    <row r="4" spans="1:6" ht="21.4" thickBot="1" x14ac:dyDescent="0.6">
      <c r="A4" s="6">
        <v>3</v>
      </c>
      <c r="B4" s="44" t="s">
        <v>11</v>
      </c>
      <c r="C4" s="44" t="s">
        <v>5</v>
      </c>
      <c r="D4" s="44" t="s">
        <v>9</v>
      </c>
      <c r="E4" s="45" t="s">
        <v>10</v>
      </c>
    </row>
    <row r="5" spans="1:6" ht="21.4" thickBot="1" x14ac:dyDescent="0.6">
      <c r="A5" s="6">
        <v>4</v>
      </c>
      <c r="B5" s="44" t="s">
        <v>11</v>
      </c>
      <c r="C5" s="44" t="s">
        <v>8</v>
      </c>
      <c r="D5" s="44" t="s">
        <v>12</v>
      </c>
      <c r="E5" s="45" t="s">
        <v>10</v>
      </c>
    </row>
    <row r="6" spans="1:6" ht="21.4" thickBot="1" x14ac:dyDescent="0.6">
      <c r="A6" s="6">
        <v>5</v>
      </c>
      <c r="B6" s="44" t="s">
        <v>4</v>
      </c>
      <c r="C6" s="44" t="s">
        <v>5</v>
      </c>
      <c r="D6" s="44" t="s">
        <v>6</v>
      </c>
      <c r="E6" s="45" t="s">
        <v>7</v>
      </c>
    </row>
    <row r="7" spans="1:6" ht="21.4" thickBot="1" x14ac:dyDescent="0.6">
      <c r="A7" s="6">
        <v>6</v>
      </c>
      <c r="B7" s="44" t="s">
        <v>4</v>
      </c>
      <c r="C7" s="44" t="s">
        <v>5</v>
      </c>
      <c r="D7" s="44" t="s">
        <v>12</v>
      </c>
      <c r="E7" s="45" t="s">
        <v>10</v>
      </c>
    </row>
    <row r="8" spans="1:6" ht="21.4" thickBot="1" x14ac:dyDescent="0.6">
      <c r="A8" s="6">
        <v>7</v>
      </c>
      <c r="B8" s="44" t="s">
        <v>4</v>
      </c>
      <c r="C8" s="44" t="s">
        <v>8</v>
      </c>
      <c r="D8" s="44" t="s">
        <v>12</v>
      </c>
      <c r="E8" s="45" t="s">
        <v>7</v>
      </c>
    </row>
    <row r="9" spans="1:6" ht="21.4" thickBot="1" x14ac:dyDescent="0.6">
      <c r="A9" s="6">
        <v>8</v>
      </c>
      <c r="B9" s="44" t="s">
        <v>11</v>
      </c>
      <c r="C9" s="44" t="s">
        <v>5</v>
      </c>
      <c r="D9" s="44" t="s">
        <v>6</v>
      </c>
      <c r="E9" s="45" t="s">
        <v>10</v>
      </c>
    </row>
    <row r="10" spans="1:6" ht="21.4" thickBot="1" x14ac:dyDescent="0.6">
      <c r="A10" s="6">
        <v>9</v>
      </c>
      <c r="B10" s="44" t="s">
        <v>4</v>
      </c>
      <c r="C10" s="44" t="s">
        <v>5</v>
      </c>
      <c r="D10" s="44" t="s">
        <v>12</v>
      </c>
      <c r="E10" s="45" t="s">
        <v>7</v>
      </c>
    </row>
    <row r="11" spans="1:6" ht="18" x14ac:dyDescent="0.55000000000000004">
      <c r="B11" s="5">
        <f>COUNTIF(B2:B10,"=A")</f>
        <v>6</v>
      </c>
      <c r="C11" s="5">
        <f>COUNTIF(C2:C10,"=azul")</f>
        <v>6</v>
      </c>
      <c r="D11" s="5">
        <f>COUNTIF(D2:D10,"=p")</f>
        <v>4</v>
      </c>
      <c r="E11" s="6">
        <f>COUNTIF(E2:E10,"=sim")</f>
        <v>4</v>
      </c>
    </row>
    <row r="12" spans="1:6" ht="18" x14ac:dyDescent="0.55000000000000004">
      <c r="B12" s="5">
        <f>COUNTIF(B2:B10,"=B")</f>
        <v>3</v>
      </c>
      <c r="C12" s="5">
        <f>COUNTIF(C2:C10,"=vermelho")</f>
        <v>3</v>
      </c>
      <c r="D12" s="5">
        <f>COUNTIF(D2:D10,"=m")</f>
        <v>2</v>
      </c>
      <c r="E12" s="6">
        <f>COUNTIF(E2:E10,"=não")</f>
        <v>5</v>
      </c>
    </row>
    <row r="13" spans="1:6" ht="18" x14ac:dyDescent="0.55000000000000004">
      <c r="B13" s="5"/>
      <c r="C13" s="5"/>
      <c r="D13" s="5">
        <f>COUNTIF(D2:D10,"=g")</f>
        <v>3</v>
      </c>
      <c r="E13" s="6"/>
    </row>
    <row r="14" spans="1:6" ht="18" x14ac:dyDescent="0.55000000000000004">
      <c r="A14" s="48" t="s">
        <v>42</v>
      </c>
      <c r="B14" s="48"/>
      <c r="C14" s="48"/>
      <c r="D14" s="48"/>
      <c r="E14" s="48"/>
      <c r="F14" s="48"/>
    </row>
    <row r="15" spans="1:6" ht="18" x14ac:dyDescent="0.55000000000000004">
      <c r="A15" s="39" t="s">
        <v>29</v>
      </c>
      <c r="B15" s="8"/>
      <c r="C15" s="8"/>
      <c r="D15" s="8"/>
      <c r="E15" s="8"/>
      <c r="F15" s="8"/>
    </row>
    <row r="16" spans="1:6" ht="18" x14ac:dyDescent="0.55000000000000004">
      <c r="A16" s="32" t="s">
        <v>13</v>
      </c>
      <c r="B16" s="33">
        <f>-(E11/A10)*LOG(E11/A10,2)-(E12/A10)*LOG(E12/A10,2)</f>
        <v>0.99107605983822222</v>
      </c>
      <c r="C16" s="8"/>
      <c r="D16" s="8"/>
      <c r="E16" s="8"/>
      <c r="F16" s="8"/>
    </row>
    <row r="17" spans="1:6" ht="18" x14ac:dyDescent="0.55000000000000004">
      <c r="A17" s="8"/>
      <c r="B17" s="8"/>
      <c r="C17" s="8"/>
      <c r="D17" s="8"/>
      <c r="E17" s="8"/>
      <c r="F17" s="8"/>
    </row>
    <row r="18" spans="1:6" ht="18" x14ac:dyDescent="0.55000000000000004">
      <c r="A18" s="8" t="s">
        <v>14</v>
      </c>
      <c r="B18" s="37" t="s">
        <v>7</v>
      </c>
      <c r="C18" s="37" t="s">
        <v>10</v>
      </c>
      <c r="D18" s="38" t="s">
        <v>35</v>
      </c>
      <c r="E18" s="8"/>
      <c r="F18" s="8"/>
    </row>
    <row r="19" spans="1:6" ht="18" x14ac:dyDescent="0.55000000000000004">
      <c r="A19" s="7" t="s">
        <v>15</v>
      </c>
      <c r="B19" s="9">
        <f>COUNTIFS(B2:B10,"=A",E2:E10,"=sim")</f>
        <v>4</v>
      </c>
      <c r="C19" s="9">
        <f>COUNTIFS(B2:B10,"=A",E2:E10,"=não")</f>
        <v>2</v>
      </c>
      <c r="D19" s="25">
        <f>-(B19/B11)*LOG(B19/B11,2)-(C19/B11)*LOG(C19/B11,2)</f>
        <v>0.91829583405448956</v>
      </c>
      <c r="E19" s="8"/>
      <c r="F19" s="8"/>
    </row>
    <row r="20" spans="1:6" ht="18" x14ac:dyDescent="0.55000000000000004">
      <c r="A20" s="7" t="s">
        <v>16</v>
      </c>
      <c r="B20" s="9">
        <f>COUNTIFS(B2:B10,"=B",E2:E10,"=sim")</f>
        <v>0</v>
      </c>
      <c r="C20" s="9">
        <f>COUNTIFS(B2:B10,"=b",E2:E10,"=não")</f>
        <v>3</v>
      </c>
      <c r="D20" s="9">
        <f>-(B20/B12)-(C20/B12)*LOG(C20/B12,2)</f>
        <v>0</v>
      </c>
      <c r="E20" s="8"/>
      <c r="F20" s="8"/>
    </row>
    <row r="21" spans="1:6" ht="18" x14ac:dyDescent="0.55000000000000004">
      <c r="A21" s="8"/>
      <c r="B21" s="8"/>
      <c r="C21" s="8"/>
      <c r="D21" s="8"/>
      <c r="E21" s="8"/>
      <c r="F21" s="8"/>
    </row>
    <row r="22" spans="1:6" ht="18" x14ac:dyDescent="0.55000000000000004">
      <c r="A22" s="26" t="s">
        <v>30</v>
      </c>
      <c r="B22" s="34">
        <f>B16-(B11/A10)*D19-(B12/A10)*D20</f>
        <v>0.37887883713522919</v>
      </c>
      <c r="C22" s="8"/>
      <c r="D22" s="8"/>
      <c r="E22" s="26" t="str">
        <f>A22</f>
        <v>Ganho(FE)=</v>
      </c>
      <c r="F22" s="27">
        <f>B22</f>
        <v>0.37887883713522919</v>
      </c>
    </row>
    <row r="23" spans="1:6" ht="18" x14ac:dyDescent="0.55000000000000004">
      <c r="A23" s="8"/>
      <c r="B23" s="8"/>
      <c r="C23" s="8"/>
      <c r="D23" s="8"/>
      <c r="E23" s="26" t="str">
        <f>A28</f>
        <v>Ganho(Cor)=</v>
      </c>
      <c r="F23" s="27">
        <f>B28</f>
        <v>1.8310781820059074E-2</v>
      </c>
    </row>
    <row r="24" spans="1:6" ht="18" x14ac:dyDescent="0.55000000000000004">
      <c r="A24" s="8" t="s">
        <v>18</v>
      </c>
      <c r="B24" s="37" t="s">
        <v>7</v>
      </c>
      <c r="C24" s="37" t="s">
        <v>10</v>
      </c>
      <c r="D24" s="38" t="s">
        <v>35</v>
      </c>
      <c r="E24" s="26" t="str">
        <f>A35</f>
        <v>Ganho(TAM)=</v>
      </c>
      <c r="F24" s="27">
        <f>B35</f>
        <v>0.24053300404228128</v>
      </c>
    </row>
    <row r="25" spans="1:6" ht="18" x14ac:dyDescent="0.55000000000000004">
      <c r="A25" s="7" t="s">
        <v>20</v>
      </c>
      <c r="B25" s="9">
        <f>COUNTIFS(C2:C10,"=azul",E2:E10,"=sim")</f>
        <v>3</v>
      </c>
      <c r="C25" s="9">
        <f>COUNTIFS(C2:C10,"=azul",E2:E10,"=não")</f>
        <v>3</v>
      </c>
      <c r="D25" s="9">
        <f>-(B25/C11)*LOG(B25/C11,2)-(C25/C11)*LOG(C25/C11,2)</f>
        <v>1</v>
      </c>
      <c r="E25" s="8"/>
      <c r="F25" s="8"/>
    </row>
    <row r="26" spans="1:6" ht="18" x14ac:dyDescent="0.55000000000000004">
      <c r="A26" s="7" t="s">
        <v>21</v>
      </c>
      <c r="B26" s="9">
        <f>COUNTIFS(C2:C10,"=vermelho",E2:E10,"=sim")</f>
        <v>1</v>
      </c>
      <c r="C26" s="9">
        <f>COUNTIFS(C2:C10,"=vermelho",E2:E10,"=não")</f>
        <v>2</v>
      </c>
      <c r="D26" s="25">
        <f>-(B26/C12)*LOG(B26/C12,2)-(C26/C12)*LOG(C26/C12,2)</f>
        <v>0.91829583405448956</v>
      </c>
      <c r="E26" s="8"/>
      <c r="F26" s="8"/>
    </row>
    <row r="27" spans="1:6" ht="18" x14ac:dyDescent="0.55000000000000004">
      <c r="A27" s="8"/>
      <c r="B27" s="8"/>
      <c r="C27" s="8"/>
      <c r="D27" s="8"/>
      <c r="E27" s="8"/>
      <c r="F27" s="8"/>
    </row>
    <row r="28" spans="1:6" ht="18" x14ac:dyDescent="0.55000000000000004">
      <c r="A28" s="26" t="s">
        <v>31</v>
      </c>
      <c r="B28" s="34">
        <f>B16-(C11/A10)*D25-(C12/A10)*D26</f>
        <v>1.8310781820059074E-2</v>
      </c>
      <c r="C28" s="8"/>
      <c r="D28" s="8"/>
      <c r="E28" s="8"/>
      <c r="F28" s="8"/>
    </row>
    <row r="29" spans="1:6" ht="18" x14ac:dyDescent="0.55000000000000004">
      <c r="A29" s="8"/>
      <c r="B29" s="8"/>
      <c r="C29" s="8"/>
      <c r="D29" s="8"/>
      <c r="E29" s="8"/>
      <c r="F29" s="8"/>
    </row>
    <row r="30" spans="1:6" ht="18" x14ac:dyDescent="0.55000000000000004">
      <c r="A30" s="8" t="s">
        <v>32</v>
      </c>
      <c r="B30" s="37" t="s">
        <v>7</v>
      </c>
      <c r="C30" s="37" t="s">
        <v>10</v>
      </c>
      <c r="D30" s="38" t="s">
        <v>35</v>
      </c>
      <c r="E30" s="8"/>
      <c r="F30" s="8"/>
    </row>
    <row r="31" spans="1:6" ht="18" x14ac:dyDescent="0.55000000000000004">
      <c r="A31" s="7" t="s">
        <v>23</v>
      </c>
      <c r="B31" s="9">
        <f>COUNTIFS(D2:D10,"=p",E2:E10,"=sim")</f>
        <v>2</v>
      </c>
      <c r="C31" s="9">
        <f>COUNTIFS(D2:D10,"=p",E2:E10,"=não")</f>
        <v>2</v>
      </c>
      <c r="D31" s="9">
        <f>-(B31/D11)*LOG(B31/D11,2)-(C31/D11)*LOG(C31/D11,2)</f>
        <v>1</v>
      </c>
      <c r="E31" s="8"/>
      <c r="F31" s="8"/>
    </row>
    <row r="32" spans="1:6" ht="18" x14ac:dyDescent="0.55000000000000004">
      <c r="A32" s="7" t="s">
        <v>24</v>
      </c>
      <c r="B32" s="9">
        <f>COUNTIFS(D2:D10,"=m",E2:E10,"=sim")</f>
        <v>0</v>
      </c>
      <c r="C32" s="9">
        <f>COUNTIFS(D2:D10,"=m",E2:E10,"=não")</f>
        <v>2</v>
      </c>
      <c r="D32" s="9">
        <f>-(B32/D12)-(C32/D12)*LOG(C32/D12,2)</f>
        <v>0</v>
      </c>
      <c r="E32" s="8"/>
      <c r="F32" s="8"/>
    </row>
    <row r="33" spans="1:6" ht="18" x14ac:dyDescent="0.55000000000000004">
      <c r="A33" s="7" t="s">
        <v>25</v>
      </c>
      <c r="B33" s="9">
        <f>COUNTIFS(D2:D10,"=g",E2:E10,"=sim")</f>
        <v>2</v>
      </c>
      <c r="C33" s="9">
        <f>COUNTIFS(D2:D10,"=g",E2:E10,"=não")</f>
        <v>1</v>
      </c>
      <c r="D33" s="25">
        <f>-(B33/D13)*LOG(B33/D13,2)-(C33/D13)*LOG(C33/D13,2)</f>
        <v>0.91829583405448956</v>
      </c>
      <c r="E33" s="8"/>
      <c r="F33" s="8"/>
    </row>
    <row r="34" spans="1:6" ht="18" x14ac:dyDescent="0.55000000000000004">
      <c r="A34" s="8"/>
      <c r="B34" s="8"/>
      <c r="C34" s="8"/>
      <c r="D34" s="8"/>
      <c r="E34" s="8"/>
      <c r="F34" s="8"/>
    </row>
    <row r="35" spans="1:6" ht="18" x14ac:dyDescent="0.55000000000000004">
      <c r="A35" s="26" t="s">
        <v>33</v>
      </c>
      <c r="B35" s="34">
        <f>B16-(D11/A10)*D31-(D12/A10)*D32-(D13/A10)*D33</f>
        <v>0.24053300404228128</v>
      </c>
      <c r="C35" s="8"/>
      <c r="D35" s="8"/>
      <c r="E35" s="8"/>
      <c r="F35" s="8"/>
    </row>
    <row r="36" spans="1:6" ht="21.4" thickBot="1" x14ac:dyDescent="0.7">
      <c r="A36" s="47" t="s">
        <v>41</v>
      </c>
      <c r="B36" s="47"/>
      <c r="C36" s="47"/>
      <c r="D36" s="47"/>
      <c r="E36" s="47"/>
    </row>
    <row r="37" spans="1:6" ht="21.4" thickBot="1" x14ac:dyDescent="0.6">
      <c r="A37" s="6" t="s">
        <v>27</v>
      </c>
      <c r="B37" s="1" t="s">
        <v>0</v>
      </c>
      <c r="C37" s="1" t="s">
        <v>1</v>
      </c>
      <c r="D37" s="1" t="s">
        <v>2</v>
      </c>
      <c r="E37" s="1" t="s">
        <v>3</v>
      </c>
    </row>
    <row r="38" spans="1:6" ht="21.75" thickTop="1" thickBot="1" x14ac:dyDescent="0.6">
      <c r="A38" s="6">
        <v>1</v>
      </c>
      <c r="B38" s="2" t="s">
        <v>4</v>
      </c>
      <c r="C38" s="2" t="s">
        <v>5</v>
      </c>
      <c r="D38" s="2" t="s">
        <v>6</v>
      </c>
      <c r="E38" s="2" t="s">
        <v>7</v>
      </c>
    </row>
    <row r="39" spans="1:6" ht="21.4" thickBot="1" x14ac:dyDescent="0.6">
      <c r="A39" s="6">
        <v>2</v>
      </c>
      <c r="B39" s="3" t="s">
        <v>4</v>
      </c>
      <c r="C39" s="3" t="s">
        <v>8</v>
      </c>
      <c r="D39" s="3" t="s">
        <v>9</v>
      </c>
      <c r="E39" s="3" t="s">
        <v>10</v>
      </c>
    </row>
    <row r="40" spans="1:6" ht="21.4" thickBot="1" x14ac:dyDescent="0.6">
      <c r="A40" s="6">
        <v>5</v>
      </c>
      <c r="B40" s="4" t="s">
        <v>4</v>
      </c>
      <c r="C40" s="4" t="s">
        <v>5</v>
      </c>
      <c r="D40" s="4" t="s">
        <v>6</v>
      </c>
      <c r="E40" s="4" t="s">
        <v>7</v>
      </c>
    </row>
    <row r="41" spans="1:6" ht="21.4" thickBot="1" x14ac:dyDescent="0.6">
      <c r="A41" s="6">
        <v>6</v>
      </c>
      <c r="B41" s="3" t="s">
        <v>4</v>
      </c>
      <c r="C41" s="3" t="s">
        <v>5</v>
      </c>
      <c r="D41" s="3" t="s">
        <v>12</v>
      </c>
      <c r="E41" s="3" t="s">
        <v>10</v>
      </c>
    </row>
    <row r="42" spans="1:6" ht="21.4" thickBot="1" x14ac:dyDescent="0.6">
      <c r="A42" s="6">
        <v>7</v>
      </c>
      <c r="B42" s="4" t="s">
        <v>4</v>
      </c>
      <c r="C42" s="4" t="s">
        <v>8</v>
      </c>
      <c r="D42" s="4" t="s">
        <v>12</v>
      </c>
      <c r="E42" s="4" t="s">
        <v>7</v>
      </c>
    </row>
    <row r="43" spans="1:6" ht="21.4" thickBot="1" x14ac:dyDescent="0.6">
      <c r="A43" s="6">
        <v>9</v>
      </c>
      <c r="B43" s="4" t="s">
        <v>4</v>
      </c>
      <c r="C43" s="4" t="s">
        <v>5</v>
      </c>
      <c r="D43" s="4" t="s">
        <v>12</v>
      </c>
      <c r="E43" s="4" t="s">
        <v>7</v>
      </c>
    </row>
    <row r="44" spans="1:6" ht="18" x14ac:dyDescent="0.55000000000000004">
      <c r="A44" s="6"/>
    </row>
    <row r="45" spans="1:6" ht="18" x14ac:dyDescent="0.55000000000000004">
      <c r="A45" s="39" t="s">
        <v>39</v>
      </c>
    </row>
    <row r="46" spans="1:6" ht="18" x14ac:dyDescent="0.55000000000000004">
      <c r="A46" s="35" t="s">
        <v>13</v>
      </c>
      <c r="B46" s="36">
        <v>0.91829583405448956</v>
      </c>
      <c r="C46" s="8"/>
      <c r="D46" s="8"/>
    </row>
    <row r="47" spans="1:6" ht="18" x14ac:dyDescent="0.55000000000000004">
      <c r="A47" s="8"/>
      <c r="B47" s="8"/>
      <c r="C47" s="8"/>
      <c r="D47" s="8"/>
    </row>
    <row r="48" spans="1:6" ht="18" x14ac:dyDescent="0.55000000000000004">
      <c r="A48" s="8" t="s">
        <v>18</v>
      </c>
      <c r="B48" s="37" t="s">
        <v>7</v>
      </c>
      <c r="C48" s="37" t="s">
        <v>10</v>
      </c>
      <c r="D48" s="38" t="s">
        <v>35</v>
      </c>
    </row>
    <row r="49" spans="1:5" ht="18" x14ac:dyDescent="0.55000000000000004">
      <c r="A49" s="7" t="s">
        <v>20</v>
      </c>
      <c r="B49" s="9">
        <v>3</v>
      </c>
      <c r="C49" s="9">
        <v>1</v>
      </c>
      <c r="D49" s="25">
        <v>0.81127812445913283</v>
      </c>
    </row>
    <row r="50" spans="1:5" ht="18" x14ac:dyDescent="0.55000000000000004">
      <c r="A50" s="7" t="s">
        <v>21</v>
      </c>
      <c r="B50" s="9">
        <v>1</v>
      </c>
      <c r="C50" s="9">
        <v>1</v>
      </c>
      <c r="D50" s="9">
        <v>1</v>
      </c>
    </row>
    <row r="51" spans="1:5" ht="18" x14ac:dyDescent="0.55000000000000004">
      <c r="A51" s="8"/>
      <c r="B51" s="8"/>
      <c r="C51" s="8"/>
      <c r="D51" s="8"/>
    </row>
    <row r="52" spans="1:5" ht="18" x14ac:dyDescent="0.55000000000000004">
      <c r="A52" s="35" t="s">
        <v>19</v>
      </c>
      <c r="B52" s="36">
        <v>4.4110417748401021E-2</v>
      </c>
      <c r="C52" s="8"/>
      <c r="D52" s="8"/>
    </row>
    <row r="53" spans="1:5" ht="18" x14ac:dyDescent="0.55000000000000004">
      <c r="A53" s="8"/>
      <c r="B53" s="8"/>
      <c r="C53" s="8"/>
      <c r="D53" s="8"/>
    </row>
    <row r="54" spans="1:5" ht="18" x14ac:dyDescent="0.55000000000000004">
      <c r="A54" s="8" t="s">
        <v>22</v>
      </c>
      <c r="B54" s="37" t="s">
        <v>7</v>
      </c>
      <c r="C54" s="37" t="s">
        <v>10</v>
      </c>
      <c r="D54" s="38" t="s">
        <v>35</v>
      </c>
    </row>
    <row r="55" spans="1:5" ht="18" x14ac:dyDescent="0.55000000000000004">
      <c r="A55" s="7" t="s">
        <v>23</v>
      </c>
      <c r="B55" s="9">
        <v>2</v>
      </c>
      <c r="C55" s="9">
        <v>1</v>
      </c>
      <c r="D55" s="25">
        <v>0.91829583405448956</v>
      </c>
    </row>
    <row r="56" spans="1:5" ht="18" x14ac:dyDescent="0.55000000000000004">
      <c r="A56" s="7" t="s">
        <v>24</v>
      </c>
      <c r="B56" s="9">
        <v>0</v>
      </c>
      <c r="C56" s="9">
        <v>1</v>
      </c>
      <c r="D56" s="9">
        <v>0</v>
      </c>
    </row>
    <row r="57" spans="1:5" ht="18" x14ac:dyDescent="0.55000000000000004">
      <c r="A57" s="7" t="s">
        <v>25</v>
      </c>
      <c r="B57" s="9">
        <v>2</v>
      </c>
      <c r="C57" s="9">
        <v>0</v>
      </c>
      <c r="D57" s="9">
        <v>0</v>
      </c>
    </row>
    <row r="58" spans="1:5" ht="18" x14ac:dyDescent="0.55000000000000004">
      <c r="A58" s="8"/>
      <c r="B58" s="8"/>
      <c r="C58" s="8"/>
      <c r="D58" s="8"/>
    </row>
    <row r="59" spans="1:5" ht="18" x14ac:dyDescent="0.55000000000000004">
      <c r="A59" s="35" t="s">
        <v>38</v>
      </c>
      <c r="B59" s="36">
        <v>0.45914791702724478</v>
      </c>
      <c r="C59" s="8"/>
      <c r="D59" s="8"/>
    </row>
    <row r="60" spans="1:5" ht="14.65" thickBot="1" x14ac:dyDescent="0.5"/>
    <row r="61" spans="1:5" ht="21.4" thickBot="1" x14ac:dyDescent="0.6">
      <c r="A61" s="6" t="s">
        <v>27</v>
      </c>
      <c r="B61" s="1" t="s">
        <v>0</v>
      </c>
      <c r="C61" s="1" t="s">
        <v>1</v>
      </c>
      <c r="D61" s="1" t="s">
        <v>2</v>
      </c>
      <c r="E61" s="1" t="s">
        <v>3</v>
      </c>
    </row>
    <row r="62" spans="1:5" ht="21.75" thickTop="1" thickBot="1" x14ac:dyDescent="0.6">
      <c r="A62" s="6">
        <v>3</v>
      </c>
      <c r="B62" s="4" t="s">
        <v>11</v>
      </c>
      <c r="C62" s="4" t="s">
        <v>5</v>
      </c>
      <c r="D62" s="4" t="s">
        <v>9</v>
      </c>
      <c r="E62" s="4" t="s">
        <v>10</v>
      </c>
    </row>
    <row r="63" spans="1:5" ht="21.4" thickBot="1" x14ac:dyDescent="0.6">
      <c r="A63" s="6">
        <v>4</v>
      </c>
      <c r="B63" s="3" t="s">
        <v>11</v>
      </c>
      <c r="C63" s="3" t="s">
        <v>8</v>
      </c>
      <c r="D63" s="3" t="s">
        <v>12</v>
      </c>
      <c r="E63" s="3" t="s">
        <v>10</v>
      </c>
    </row>
    <row r="64" spans="1:5" ht="21.4" thickBot="1" x14ac:dyDescent="0.6">
      <c r="A64" s="6">
        <v>8</v>
      </c>
      <c r="B64" s="3" t="s">
        <v>11</v>
      </c>
      <c r="C64" s="3" t="s">
        <v>5</v>
      </c>
      <c r="D64" s="3" t="s">
        <v>6</v>
      </c>
      <c r="E64" s="3" t="s">
        <v>10</v>
      </c>
    </row>
    <row r="65" spans="1:5" ht="18" x14ac:dyDescent="0.55000000000000004">
      <c r="A65" s="8"/>
    </row>
    <row r="66" spans="1:5" ht="18" x14ac:dyDescent="0.55000000000000004">
      <c r="A66" s="8"/>
    </row>
    <row r="67" spans="1:5" ht="21.4" thickBot="1" x14ac:dyDescent="0.7">
      <c r="A67" s="47" t="s">
        <v>40</v>
      </c>
      <c r="B67" s="47"/>
      <c r="C67" s="47"/>
      <c r="D67" s="47"/>
      <c r="E67" s="47"/>
    </row>
    <row r="68" spans="1:5" ht="21.4" thickBot="1" x14ac:dyDescent="0.6">
      <c r="A68" s="6" t="s">
        <v>27</v>
      </c>
      <c r="B68" s="1" t="s">
        <v>0</v>
      </c>
      <c r="C68" s="1" t="s">
        <v>1</v>
      </c>
      <c r="D68" s="1" t="s">
        <v>2</v>
      </c>
      <c r="E68" s="1" t="s">
        <v>3</v>
      </c>
    </row>
    <row r="69" spans="1:5" ht="21.75" thickTop="1" thickBot="1" x14ac:dyDescent="0.6">
      <c r="A69" s="6">
        <v>6</v>
      </c>
      <c r="B69" s="3" t="s">
        <v>4</v>
      </c>
      <c r="C69" s="3" t="s">
        <v>5</v>
      </c>
      <c r="D69" s="3" t="s">
        <v>12</v>
      </c>
      <c r="E69" s="3" t="s">
        <v>10</v>
      </c>
    </row>
    <row r="70" spans="1:5" ht="21.4" thickBot="1" x14ac:dyDescent="0.6">
      <c r="A70" s="6">
        <v>7</v>
      </c>
      <c r="B70" s="4" t="s">
        <v>4</v>
      </c>
      <c r="C70" s="4" t="s">
        <v>8</v>
      </c>
      <c r="D70" s="4" t="s">
        <v>12</v>
      </c>
      <c r="E70" s="4" t="s">
        <v>7</v>
      </c>
    </row>
    <row r="71" spans="1:5" ht="21.4" thickBot="1" x14ac:dyDescent="0.6">
      <c r="A71" s="6">
        <v>9</v>
      </c>
      <c r="B71" s="4" t="s">
        <v>4</v>
      </c>
      <c r="C71" s="4" t="s">
        <v>5</v>
      </c>
      <c r="D71" s="4" t="s">
        <v>12</v>
      </c>
      <c r="E71" s="4" t="s">
        <v>7</v>
      </c>
    </row>
    <row r="73" spans="1:5" ht="231.75" customHeight="1" thickBot="1" x14ac:dyDescent="0.5"/>
    <row r="74" spans="1:5" ht="21.4" thickBot="1" x14ac:dyDescent="0.5">
      <c r="A74" s="10" t="s">
        <v>27</v>
      </c>
      <c r="B74" s="1" t="s">
        <v>0</v>
      </c>
      <c r="C74" s="1" t="s">
        <v>1</v>
      </c>
      <c r="D74" s="1" t="s">
        <v>2</v>
      </c>
      <c r="E74" s="1" t="s">
        <v>3</v>
      </c>
    </row>
    <row r="75" spans="1:5" ht="21.75" thickTop="1" thickBot="1" x14ac:dyDescent="0.5">
      <c r="A75" s="10">
        <v>2</v>
      </c>
      <c r="B75" s="3" t="s">
        <v>4</v>
      </c>
      <c r="C75" s="3" t="s">
        <v>8</v>
      </c>
      <c r="D75" s="3" t="s">
        <v>9</v>
      </c>
      <c r="E75" s="3" t="s">
        <v>10</v>
      </c>
    </row>
    <row r="77" spans="1:5" ht="14.65" thickBot="1" x14ac:dyDescent="0.5"/>
    <row r="78" spans="1:5" ht="21.4" thickBot="1" x14ac:dyDescent="0.5">
      <c r="A78" s="10" t="s">
        <v>27</v>
      </c>
      <c r="B78" s="1" t="s">
        <v>0</v>
      </c>
      <c r="C78" s="1" t="s">
        <v>1</v>
      </c>
      <c r="D78" s="1" t="s">
        <v>2</v>
      </c>
      <c r="E78" s="1" t="s">
        <v>3</v>
      </c>
    </row>
    <row r="79" spans="1:5" ht="21.75" thickTop="1" thickBot="1" x14ac:dyDescent="0.5">
      <c r="A79" s="10">
        <v>1</v>
      </c>
      <c r="B79" s="2" t="s">
        <v>4</v>
      </c>
      <c r="C79" s="2" t="s">
        <v>5</v>
      </c>
      <c r="D79" s="2" t="s">
        <v>6</v>
      </c>
      <c r="E79" s="2" t="s">
        <v>7</v>
      </c>
    </row>
    <row r="80" spans="1:5" ht="21.4" thickBot="1" x14ac:dyDescent="0.5">
      <c r="A80" s="10">
        <v>5</v>
      </c>
      <c r="B80" s="4" t="s">
        <v>4</v>
      </c>
      <c r="C80" s="4" t="s">
        <v>5</v>
      </c>
      <c r="D80" s="4" t="s">
        <v>6</v>
      </c>
      <c r="E80" s="4" t="s">
        <v>7</v>
      </c>
    </row>
    <row r="81" spans="2:5" x14ac:dyDescent="0.45">
      <c r="B81" s="10"/>
      <c r="C81" s="10"/>
      <c r="D81" s="10"/>
      <c r="E81" s="10"/>
    </row>
  </sheetData>
  <mergeCells count="3">
    <mergeCell ref="A67:E67"/>
    <mergeCell ref="A36:E36"/>
    <mergeCell ref="A14:F1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Algoritmo</vt:lpstr>
      <vt:lpstr>Ex Sem Recursividade</vt:lpstr>
      <vt:lpstr>EXEMPLO Com Recursividade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Tsunoda</dc:creator>
  <cp:lastModifiedBy>Denise Fukumi Tsunoda</cp:lastModifiedBy>
  <cp:lastPrinted>2019-04-22T16:21:13Z</cp:lastPrinted>
  <dcterms:created xsi:type="dcterms:W3CDTF">2019-04-22T16:17:29Z</dcterms:created>
  <dcterms:modified xsi:type="dcterms:W3CDTF">2024-03-25T17:14:46Z</dcterms:modified>
</cp:coreProperties>
</file>